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Plan Summary" sheetId="1" r:id="rId4"/>
    <sheet state="visible" name="Instructions" sheetId="2" r:id="rId5"/>
    <sheet state="visible" name="AE Calculator" sheetId="3" r:id="rId6"/>
    <sheet state="visible" name="AEAM Hybrid Calculator" sheetId="4" r:id="rId7"/>
    <sheet state="visible" name="AM Calculator" sheetId="5" r:id="rId8"/>
    <sheet state="visible" name="CSM Calculator" sheetId="6" r:id="rId9"/>
    <sheet state="visible" name="ISR Calculator" sheetId="7" r:id="rId10"/>
    <sheet state="visible" name="Partner-Channel Calculator" sheetId="8" r:id="rId11"/>
    <sheet state="visible" name="RM Calculator" sheetId="9" r:id="rId12"/>
    <sheet state="visible" name="SDR Calculator" sheetId="10" r:id="rId13"/>
    <sheet state="visible" name="SE Calculator" sheetId="11" r:id="rId14"/>
  </sheets>
  <definedNames/>
  <calcPr/>
  <extLst>
    <ext uri="GoogleSheetsCustomDataVersion2">
      <go:sheetsCustomData xmlns:go="http://customooxmlschemas.google.com/" r:id="rId15" roundtripDataChecksum="Bzze2+vbrcPKbDLz+JVrGIx6vxHoXOxtqeh6r6Er6jM="/>
    </ext>
  </extLst>
</workbook>
</file>

<file path=xl/sharedStrings.xml><?xml version="1.0" encoding="utf-8"?>
<sst xmlns="http://schemas.openxmlformats.org/spreadsheetml/2006/main" count="690" uniqueCount="318">
  <si>
    <t>Plan Detail from Vimeo Google Sheet</t>
  </si>
  <si>
    <t>Other Vimeo Reference Doc</t>
  </si>
  <si>
    <t>2026 Summary</t>
  </si>
  <si>
    <t>Role</t>
  </si>
  <si>
    <t>Segment</t>
  </si>
  <si>
    <t>Timing</t>
  </si>
  <si>
    <t>Component 1</t>
  </si>
  <si>
    <t>Comp 1 %</t>
  </si>
  <si>
    <t>Component 2</t>
  </si>
  <si>
    <t>Comp 2 %</t>
  </si>
  <si>
    <t>GA Table</t>
  </si>
  <si>
    <t>Changes: FY26 vs. Current</t>
  </si>
  <si>
    <t>AE</t>
  </si>
  <si>
    <t>Named/Ent/MM</t>
  </si>
  <si>
    <t>Annual</t>
  </si>
  <si>
    <t>Net New Bookings</t>
  </si>
  <si>
    <t>n/a</t>
  </si>
  <si>
    <t>01 - 2026 AE/AM</t>
  </si>
  <si>
    <t>Increased Granularity (4 tiers -&gt; 5 tiers). Services excl from NNB. New MY multipler</t>
  </si>
  <si>
    <t>SMB - Media</t>
  </si>
  <si>
    <t>Increased Granularity (2 tiers -&gt; 5 tiers). Services excl from NNB. New MY multipler. Q to A Timing</t>
  </si>
  <si>
    <t>AE/AM</t>
  </si>
  <si>
    <t>non-OTT</t>
  </si>
  <si>
    <t>Net New Bookings+Expansion</t>
  </si>
  <si>
    <t>Retention</t>
  </si>
  <si>
    <t>OTT</t>
  </si>
  <si>
    <t>AM</t>
  </si>
  <si>
    <t>Expansion</t>
  </si>
  <si>
    <t>Tiers Change from 70% NNB/Exp to 80% Exp</t>
  </si>
  <si>
    <t>Comp Mix Change (from 70% NNB to 60% Exp)</t>
  </si>
  <si>
    <t>ISR</t>
  </si>
  <si>
    <t>All</t>
  </si>
  <si>
    <t>Quarterly</t>
  </si>
  <si>
    <t>Closed Won</t>
  </si>
  <si>
    <t>04 - 2026 ISR</t>
  </si>
  <si>
    <t>A to Q Timing. Note: Must incl additional incentives that have no change from 2025 (Passed up Opps &amp; Closed Won Passed up Opps)</t>
  </si>
  <si>
    <t>ISR/SDR Manager</t>
  </si>
  <si>
    <t>Closed Won Opps</t>
  </si>
  <si>
    <t>Component 3: SQOs 50%.  Comp 1&amp;2 credit is rollup of ISRs that report to them; Comp 3 credit is rollup of SDRs that report to them</t>
  </si>
  <si>
    <t>SDR</t>
  </si>
  <si>
    <t>SQOs</t>
  </si>
  <si>
    <t>05 - 2026 SDR</t>
  </si>
  <si>
    <t>Increased Granularity (3 tiers -&gt; 5 tiers)</t>
  </si>
  <si>
    <t>RM</t>
  </si>
  <si>
    <t>03 - 2026 CSM/RM</t>
  </si>
  <si>
    <t>Comp Mix Change (from 100% Retention). Expansion to be BCR not flat rate. Q to A Timing</t>
  </si>
  <si>
    <t>CSM</t>
  </si>
  <si>
    <t xml:space="preserve">Comp Mix Change (removed Biz Reviews). Regional crediting rather than rep-based. Expansion to be BCR not flat rate. Q to A Timing. </t>
  </si>
  <si>
    <t>Channel</t>
  </si>
  <si>
    <t>Strategic</t>
  </si>
  <si>
    <t>Sourced</t>
  </si>
  <si>
    <t>Fulfilled</t>
  </si>
  <si>
    <t>02 - 2026 Channel Manager</t>
  </si>
  <si>
    <t>Increased Granularity (4 tiers -&gt; 5 tiers). Credit Assignment Changed (Rep-based -&gt; Region-based)</t>
  </si>
  <si>
    <t>R&amp;D</t>
  </si>
  <si>
    <t>Regional 60/40</t>
  </si>
  <si>
    <t>Regional 50/50</t>
  </si>
  <si>
    <t>CSM/SE Manager</t>
  </si>
  <si>
    <t>Component 3: Regional Bookings 12.5%.  Comp 1 credit is rollup of CSMs that report to them; Comp 2&amp;3 are region based (their totals should match their reps, not be a sum of)</t>
  </si>
  <si>
    <t>SE</t>
  </si>
  <si>
    <t>Regional Bookings</t>
  </si>
  <si>
    <t>06 - 2026 SE</t>
  </si>
  <si>
    <t>Increased Granularity (4 tiers -&gt; 5 tiers). Services excl from NNB.</t>
  </si>
  <si>
    <t>Other Changes</t>
  </si>
  <si>
    <t>Services</t>
  </si>
  <si>
    <t>&gt; vOTE</t>
  </si>
  <si>
    <t>50% BCR applies to all Services.  Note: RM/CSM to use Expansion and Channel has two eligible BCRs (Sourced/Fulfilled)</t>
  </si>
  <si>
    <t>AE, AM, AE/AM, ISR</t>
  </si>
  <si>
    <t>Multi Year</t>
  </si>
  <si>
    <t>% of BCR based # of year per rate table</t>
  </si>
  <si>
    <t>AM (inc hybrid), RM, CSM</t>
  </si>
  <si>
    <t>Retention component follows 2025 CSM (Q draw + EOY true-up)</t>
  </si>
  <si>
    <t>Prior Period Adjustments</t>
  </si>
  <si>
    <t>January 2026 paid as flat Draw (1/12th annual vOTE) and February paid as offline Estimated Commission. March must true-up.</t>
  </si>
  <si>
    <t>N/A</t>
  </si>
  <si>
    <t>BCR/Quota Changes</t>
  </si>
  <si>
    <t>Requirement for BCR to have an option between fixed/prorated when a goal changes</t>
  </si>
  <si>
    <t>ASC 606 Reporting</t>
  </si>
  <si>
    <t>Replicate 2025 606 Report but updated for FY26 plans</t>
  </si>
  <si>
    <t>Commission Statements</t>
  </si>
  <si>
    <t>Replicate 2025 statements but updated for FY26 plans</t>
  </si>
  <si>
    <t>Assumptions</t>
  </si>
  <si>
    <t>Data is clean/accurate. And FY25 plans accurate.</t>
  </si>
  <si>
    <t>People and Hierachy sections of CIQ are ok. Updates may be handled by Vimeo</t>
  </si>
  <si>
    <t>Reporting, if not detailed above, is ok. Changes to be done by Vimeo or handled by BHG in next phase (after Q1 priority)</t>
  </si>
  <si>
    <t xml:space="preserve">Jan Draw in scope while any other Ramp/Guarantees is assumed to be working properly therefore out of scope </t>
  </si>
  <si>
    <t>ISR/SDR Mgr plan and CSM/SE Mgr plan to be included only if time allows</t>
  </si>
  <si>
    <t>BHG FY26 Revenue Compensation Calculator</t>
  </si>
  <si>
    <t>Instructions:</t>
  </si>
  <si>
    <t>1. Select the role tab from the sheets below</t>
  </si>
  <si>
    <t>2. Enter your inputs in the BLUE cells</t>
  </si>
  <si>
    <t>3. The calculator will automatically compute commission payout</t>
  </si>
  <si>
    <t>4. Multi-year deals for AEs use the duration-based acceleration model</t>
  </si>
  <si>
    <t>5. Retention roles (AM/RM/CSM) use scaled retention and quarterly draw with Q4 true-up</t>
  </si>
  <si>
    <t>FY26 Key Changes:</t>
  </si>
  <si>
    <t>• Universal acceleration rate table for all roles: 1x / 1.25x / 1.5x / 2x / 2.25x</t>
  </si>
  <si>
    <t>• AEs: Multi-Year incentives use duration-based BCR multipliers (1.2x–2x)</t>
  </si>
  <si>
    <t>• AMs: 80% Expansion / 20% Retention (OTT variant: 60% / 40%)</t>
  </si>
  <si>
    <t>• RMs and CSMs: 80% Retention / 20% Expansion, 75% quarterly draw Q1–Q3</t>
  </si>
  <si>
    <t>• ISRs: 60% Closed Won Opps / 40% NNB + Pass-Up Incentives ($50/opp + 2%)</t>
  </si>
  <si>
    <t>• SDRs: 80% SQOs / 20% Regional NNB (changed from 60/40)</t>
  </si>
  <si>
    <t>• SEs and Partner/Channel: Same structure, universal acceleration table applies</t>
  </si>
  <si>
    <t>Available Calculators:</t>
  </si>
  <si>
    <t>• AE Calculator — AE (100% NNB) and AEAM Hybrid (NNB + Retention)</t>
  </si>
  <si>
    <t>• SDR Calculator — 80% SQOs / 20% Net New Bookings (Quarterly)</t>
  </si>
  <si>
    <t>• ISR Calculator — 60% Closed Won Opps / 40% NNB (Quarterly)</t>
  </si>
  <si>
    <t>• SE Calculator — 100% Regional Bookings (Annual)</t>
  </si>
  <si>
    <t>• Partner-Channel Calculator — Sourced + Fulfilled Bookings (Annual)</t>
  </si>
  <si>
    <t>• AM Calculator — 80% Expansion / 20% Retention (Annual)</t>
  </si>
  <si>
    <t>• RM Calculator — 80% Retention / 20% Expansion (Annual)</t>
  </si>
  <si>
    <t>• CSM Calculator — 80% Retention / 20% Expansion (Annual)</t>
  </si>
  <si>
    <t>Acceleration Rate Table (All Roles):</t>
  </si>
  <si>
    <t>Multi-Year Acceleration (AEs Only):</t>
  </si>
  <si>
    <t xml:space="preserve">  0 – 100%:  1.00x</t>
  </si>
  <si>
    <t xml:space="preserve">  2 Years:  1.20x</t>
  </si>
  <si>
    <t xml:space="preserve">  100 – 125%:  1.25x</t>
  </si>
  <si>
    <t xml:space="preserve">  3 Years:  1.35x</t>
  </si>
  <si>
    <t xml:space="preserve">  125 – 150%:  1.50x</t>
  </si>
  <si>
    <t xml:space="preserve">  4 Years:  1.50x</t>
  </si>
  <si>
    <t xml:space="preserve">  150 – 200%:  2.00x</t>
  </si>
  <si>
    <t xml:space="preserve">  5+ Years:  2.00x</t>
  </si>
  <si>
    <t xml:space="preserve">  200%+:  2.25x</t>
  </si>
  <si>
    <t>AE Commission Calculator — FY26</t>
  </si>
  <si>
    <t>C1: Net New Bookings (100%) — Annual + Multi-Year</t>
  </si>
  <si>
    <t>INPUTS</t>
  </si>
  <si>
    <t>CALCULATED FIELDS</t>
  </si>
  <si>
    <t>Annual Variable Target (OTC) ($)</t>
  </si>
  <si>
    <t>C1 (NNB) Variable ($)</t>
  </si>
  <si>
    <t>OTC × 100%</t>
  </si>
  <si>
    <t>Annual NNB Quota ($)</t>
  </si>
  <si>
    <t>C1 BCR (%)</t>
  </si>
  <si>
    <t>Annual NNB Achieved ($)</t>
  </si>
  <si>
    <t>C1 Attainment (%)</t>
  </si>
  <si>
    <t>Current Quarter</t>
  </si>
  <si>
    <t>Q2</t>
  </si>
  <si>
    <t>Q1, Q2, Q3, or Q4</t>
  </si>
  <si>
    <t>Services Bookings ($)</t>
  </si>
  <si>
    <t>C1 — NET NEW BOOKINGS PAYOUT</t>
  </si>
  <si>
    <t>Tier</t>
  </si>
  <si>
    <t>Payout ($)</t>
  </si>
  <si>
    <t>ECR</t>
  </si>
  <si>
    <t>MULTI-YEAR DEAL INPUTS</t>
  </si>
  <si>
    <t>0% – 100% (1.00x)</t>
  </si>
  <si>
    <t>24mo Deal Incremental ARR ($)</t>
  </si>
  <si>
    <t>1.20x multiplier</t>
  </si>
  <si>
    <t>100% – 125% (1.25x)</t>
  </si>
  <si>
    <t>36mo Deal Incremental ARR ($)</t>
  </si>
  <si>
    <t>1.35x multiplier</t>
  </si>
  <si>
    <t>125% – 150% (1.50x)</t>
  </si>
  <si>
    <t>48mo Deal Incremental ARR ($)</t>
  </si>
  <si>
    <t>1.50x multiplier</t>
  </si>
  <si>
    <t>150% – 200% (2.00x)</t>
  </si>
  <si>
    <t>&gt;60mo Deal Incremental ARR ($)</t>
  </si>
  <si>
    <t>2.00x multiplier</t>
  </si>
  <si>
    <t>200%+ (2.25x)</t>
  </si>
  <si>
    <t>Renewal Multi-Year Prev. ARR ($)</t>
  </si>
  <si>
    <t>0.50% flat rate</t>
  </si>
  <si>
    <t>Total Payout</t>
  </si>
  <si>
    <t>MULTI-YEAR DEAL BONUSES</t>
  </si>
  <si>
    <t>24mo Bonus (ARR × BCR × 1.20)</t>
  </si>
  <si>
    <t>36mo Bonus (ARR × BCR × 1.35)</t>
  </si>
  <si>
    <t>48mo Bonus (ARR × BCR × 1.50)</t>
  </si>
  <si>
    <t>&gt;60mo Bonus (ARR × BCR × 2.00)</t>
  </si>
  <si>
    <t>Renewal MY Bonus (Prev ARR × 0.50%)</t>
  </si>
  <si>
    <t>Total Multi-Year Bonuses</t>
  </si>
  <si>
    <t>C2 — RETENTION PAYOUT</t>
  </si>
  <si>
    <t>Annual Retention Payout</t>
  </si>
  <si>
    <t>Q1-Q3 Draw / Q4 True-Up</t>
  </si>
  <si>
    <t>Annual payout − 3 draws</t>
  </si>
  <si>
    <t>Current Qtr Retention Payout</t>
  </si>
  <si>
    <t>TOTAL VARIABLE COMP SUMMARY</t>
  </si>
  <si>
    <t>Annual C1 (NNB) Payout</t>
  </si>
  <si>
    <t>Multi-Year Deal Bonuses</t>
  </si>
  <si>
    <t>C2 (Retention) Payout</t>
  </si>
  <si>
    <t>TOTAL ANNUAL VARIABLE COMP</t>
  </si>
  <si>
    <t>ADDITIONAL INCENTIVES</t>
  </si>
  <si>
    <t>Services BCR (%)</t>
  </si>
  <si>
    <t>Services Commission ($)</t>
  </si>
  <si>
    <t>AEAM Hybrid Commission Calculator — FY26</t>
  </si>
  <si>
    <t>C1: NNB + Expansion / C2: Retention — Annual + Multi-Year | Non-OTT: 80/20 | OTT: 60/40</t>
  </si>
  <si>
    <t>C1 (NNB+Exp) Variable ($)</t>
  </si>
  <si>
    <t>OTC × weight (80% Non-OTT, 60% OTT)</t>
  </si>
  <si>
    <t>Non-OTT or OTT</t>
  </si>
  <si>
    <t>C2 (Retention) Variable ($)</t>
  </si>
  <si>
    <t>OTC × weight (20% Non-OTT, 40% OTT)</t>
  </si>
  <si>
    <t>Annual C1 Quota (NNB+Expansion $)</t>
  </si>
  <si>
    <t>From AEAM memo: 1,000,000</t>
  </si>
  <si>
    <t>Annual C1 Achieved ($)</t>
  </si>
  <si>
    <t>Retention Target Rate (%)</t>
  </si>
  <si>
    <t>From AEAM memo: 80%</t>
  </si>
  <si>
    <t>Retention Floor Rate</t>
  </si>
  <si>
    <t>Floor = 2×Target − 1</t>
  </si>
  <si>
    <t>Actual Retention Rate (%)</t>
  </si>
  <si>
    <t>Retention Payout %</t>
  </si>
  <si>
    <t>50%@floor → 100%@target → 150%@ceiling</t>
  </si>
  <si>
    <t>C1 — NNB + EXPANSION PAYOUT</t>
  </si>
  <si>
    <t>Q1–Q3 Quarterly Draw (50% × qtr var)</t>
  </si>
  <si>
    <t>Q4 Year-End True-Up</t>
  </si>
  <si>
    <t>Annual C1 (NNB+Exp) Payout</t>
  </si>
  <si>
    <t>Annual C2 (Retention) Payout</t>
  </si>
  <si>
    <t>QUARTERLY DRAW SUMMARY</t>
  </si>
  <si>
    <t>This Qtr — Retention Draw/True-Up</t>
  </si>
  <si>
    <t>This Qtr — C1 Payout (1/4 annual)</t>
  </si>
  <si>
    <t>QUARTERLY PAYOUT THIS PERIOD</t>
  </si>
  <si>
    <t>C1 BCR / 2</t>
  </si>
  <si>
    <t>Account Manager Commission Calculator — FY26</t>
  </si>
  <si>
    <t>C1: Expansion / C2: Retention — Annual | Non-OTT: 80/20 | OTT: 60/40</t>
  </si>
  <si>
    <t>Retention Variable (Ret% × OTC)</t>
  </si>
  <si>
    <t>Expansion Variable (Exp% × OTC)</t>
  </si>
  <si>
    <t>Actual Annual Retention Rate (%)</t>
  </si>
  <si>
    <t>Annual Expansion Quota ($)</t>
  </si>
  <si>
    <t>0% below floor, 50%-150% scaled</t>
  </si>
  <si>
    <t>Annual Expansion Achieved ($)</t>
  </si>
  <si>
    <t>Expansion BCR (%)</t>
  </si>
  <si>
    <t>Expansion Attainment %</t>
  </si>
  <si>
    <t>Expansion Weight</t>
  </si>
  <si>
    <t>Retention Weight</t>
  </si>
  <si>
    <t>C1 — RETENTION PAYOUT (Scaled)</t>
  </si>
  <si>
    <t>QUARTERLY RETENTION DRAW</t>
  </si>
  <si>
    <t>C2 — EXPANSION PAYOUT (Tiered)</t>
  </si>
  <si>
    <t>Annual Expansion Payout</t>
  </si>
  <si>
    <t>This Qtr — Expansion (1/4 annual)</t>
  </si>
  <si>
    <t>Expansion BCR / 2</t>
  </si>
  <si>
    <t>Customer Success Manager Commission Calculator — FY26</t>
  </si>
  <si>
    <t>C1: Retention (80%) / C2: Expansion (20%) — Annual</t>
  </si>
  <si>
    <t>Retention Variable (80% × OTC)</t>
  </si>
  <si>
    <t>Expansion Variable (20% × OTC)</t>
  </si>
  <si>
    <t>Q1–Q3 Quarterly Draw (75% × qtr var)</t>
  </si>
  <si>
    <t>75% draw per comp memo</t>
  </si>
  <si>
    <t>ISR Commission Calculator — FY26</t>
  </si>
  <si>
    <t>C1: Closed Won Opps (60%) / C2: Net New Bookings (40%) — Quarterly</t>
  </si>
  <si>
    <t>Quarterly C1 Variable (60% × OTC/4)</t>
  </si>
  <si>
    <t>Quarterly C1 Quota (# Closed Won Opps)</t>
  </si>
  <si>
    <t>Quarterly C2 Variable (40% × OTC/4)</t>
  </si>
  <si>
    <t>Quarterly C1 Achieved (# Closed Won)</t>
  </si>
  <si>
    <t>C1 BCR ($ per opp)</t>
  </si>
  <si>
    <t>Quarterly C2 Quota (NNB $)</t>
  </si>
  <si>
    <t>C2 BCR (%)</t>
  </si>
  <si>
    <t>Quarterly C2 Achieved (NNB $)</t>
  </si>
  <si>
    <t>C1 Attainment %</t>
  </si>
  <si>
    <t># Opportunities Passed to AE</t>
  </si>
  <si>
    <t>C2 Attainment %</t>
  </si>
  <si>
    <t># Passed Opps That Closed Won</t>
  </si>
  <si>
    <t>$ Value of Closed Passed-Up Opps</t>
  </si>
  <si>
    <t>C1 — CLOSED WON PAYOUT</t>
  </si>
  <si>
    <t>Services Bookings This Quarter ($)</t>
  </si>
  <si>
    <t>ECR ($/unit)</t>
  </si>
  <si>
    <t>24-Month Deal Incremental ARR ($)</t>
  </si>
  <si>
    <t>36-Month Deal Incremental ARR ($)</t>
  </si>
  <si>
    <t>48-Month Deal Incremental ARR ($)</t>
  </si>
  <si>
    <t>&gt;60-Month Deal Incremental ARR ($)</t>
  </si>
  <si>
    <t>C2 — NET NEW BOOKINGS PAYOUT</t>
  </si>
  <si>
    <t>24mo Bonus (ARR × C2 BCR × 1.20)</t>
  </si>
  <si>
    <t>36mo Bonus (ARR × C2 BCR × 1.35)</t>
  </si>
  <si>
    <t>48mo Bonus (ARR × C2 BCR × 1.50)</t>
  </si>
  <si>
    <t>&gt;60mo Bonus (ARR × C2 BCR × 2.00)</t>
  </si>
  <si>
    <t>PASS-UP INCENTIVES</t>
  </si>
  <si>
    <t>Flat Rate ($50 per passed opp)</t>
  </si>
  <si>
    <t>Closed Won Bonus (2% of deal value)</t>
  </si>
  <si>
    <t>Total Pass-Up Incentives</t>
  </si>
  <si>
    <t>C1 (Closed Won) Payout</t>
  </si>
  <si>
    <t>C2 (Net New Bookings) Payout</t>
  </si>
  <si>
    <t>Multi-Year Bonuses</t>
  </si>
  <si>
    <t>Pass-Up Incentives</t>
  </si>
  <si>
    <t>QUARTERLY VARIABLE PAYOUT</t>
  </si>
  <si>
    <t>Annualized Variable (x 4)</t>
  </si>
  <si>
    <t>Memo: 1.6667%</t>
  </si>
  <si>
    <t>Channel Sales Commission Calculator — FY26</t>
  </si>
  <si>
    <t>C1: Sourced NNB / C2: Fulfilled NNB — Annual</t>
  </si>
  <si>
    <t>C1 Weighted OTC ($)</t>
  </si>
  <si>
    <t>C1 Weight (% Sourced)</t>
  </si>
  <si>
    <t>Varies: 40–100%</t>
  </si>
  <si>
    <t>C2 Weighted OTC ($)</t>
  </si>
  <si>
    <t>C2 Weight (% Fulfilled)</t>
  </si>
  <si>
    <t>Auto: =1-C7</t>
  </si>
  <si>
    <t>C1 Sourced Bookings Quota ($)</t>
  </si>
  <si>
    <t>C1 Sourced Attainment %</t>
  </si>
  <si>
    <t>C1 Sourced Bookings Achieved ($)</t>
  </si>
  <si>
    <t>C2 Fulfilled Bookings Quota ($)</t>
  </si>
  <si>
    <t>C2 Fulfilled Attainment %</t>
  </si>
  <si>
    <t>C2 Fulfilled Bookings Achieved ($)</t>
  </si>
  <si>
    <t>C1 — SOURCED PAYOUT</t>
  </si>
  <si>
    <t>C2 — FULFILLED PAYOUT</t>
  </si>
  <si>
    <t>Annual C1 (Sourced) Payout</t>
  </si>
  <si>
    <t>Annual C2 (Fulfilled) Payout</t>
  </si>
  <si>
    <t>Sourced Services BCR (%)</t>
  </si>
  <si>
    <t>Fulfilled Services BCR (%)</t>
  </si>
  <si>
    <t>Sourced Services Bookings ($)</t>
  </si>
  <si>
    <t>Fulfilled Services Bookings ($)</t>
  </si>
  <si>
    <t>Total Services Commission ($)</t>
  </si>
  <si>
    <t>Renewal Manager Commission Calculator — FY26</t>
  </si>
  <si>
    <t>SDR Commission Calculator — FY26</t>
  </si>
  <si>
    <t>C1: Opportunity Creation (80%) / C2: Regional Net New Bookings (20%)</t>
  </si>
  <si>
    <t>SDR Type</t>
  </si>
  <si>
    <t>IB</t>
  </si>
  <si>
    <t>(IB / OB / Hybrid — informational)</t>
  </si>
  <si>
    <t>C1 Weighted OTC (80%)</t>
  </si>
  <si>
    <t>C2 Weighted OTC (20%)</t>
  </si>
  <si>
    <t>Quarterly SQO Quota (#)</t>
  </si>
  <si>
    <t>Quarterly C1 Variable ($)</t>
  </si>
  <si>
    <t>Quarterly SQOs Achieved (#)</t>
  </si>
  <si>
    <t>C1 BCR ($ per SQO)</t>
  </si>
  <si>
    <t>Annual Bookings Quota ($)</t>
  </si>
  <si>
    <t>SQO Attainment %</t>
  </si>
  <si>
    <t>Annual Bookings Achieved ($)</t>
  </si>
  <si>
    <t>Annual Services Bookings ($)</t>
  </si>
  <si>
    <t>Bookings Attainment %</t>
  </si>
  <si>
    <t>C1 — SQO PAYOUT (Quarterly)</t>
  </si>
  <si>
    <t>C2 — REGIONAL NNB PAYOUT (Annual)</t>
  </si>
  <si>
    <t>Quarterly C1 (SQO) Payout</t>
  </si>
  <si>
    <t>Annualized C1 Payout (x 4)</t>
  </si>
  <si>
    <t>Annual C2 (Bookings) Payout</t>
  </si>
  <si>
    <t>SE Commission Calculator — FY26</t>
  </si>
  <si>
    <t>C1: Regional Net New Bookings (100%) — Annual</t>
  </si>
  <si>
    <t>Plan Region</t>
  </si>
  <si>
    <t>AMER</t>
  </si>
  <si>
    <t>C1 — BOOKINGS PAYOUT</t>
  </si>
  <si>
    <t>Annual C1 (Bookings) Payout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</si>
</sst>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$#,##0"/>
    <numFmt numFmtId="166" formatCode="\$#,##0.00"/>
    <numFmt numFmtId="167" formatCode="0.0000%"/>
  </numFmts>
  <fonts count="30">
    <font>
      <sz val="11.0"/>
      <color theme="1"/>
      <name val="Calibri"/>
      <scheme val="minor"/>
    </font>
    <font>
      <sz val="10.0"/>
      <color theme="1"/>
      <name val="Calibri"/>
      <scheme val="minor"/>
    </font>
    <font>
      <u/>
      <sz val="10.0"/>
      <color theme="10"/>
      <name val="Calibri"/>
    </font>
    <font>
      <u/>
      <sz val="10.0"/>
      <color rgb="FF0000FF"/>
      <name val="Calibri"/>
    </font>
    <font>
      <b/>
      <sz val="19.0"/>
      <color theme="1"/>
      <name val="Arial"/>
    </font>
    <font/>
    <font>
      <b/>
      <sz val="11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14.0"/>
      <color rgb="FF1F497D"/>
      <name val="Arial"/>
    </font>
    <font>
      <sz val="11.0"/>
      <color theme="1"/>
      <name val="Calibri"/>
    </font>
    <font>
      <b/>
      <sz val="14.0"/>
      <color theme="1"/>
      <name val="Arial"/>
    </font>
    <font>
      <sz val="9.0"/>
      <color rgb="FF666666"/>
      <name val="Arial"/>
    </font>
    <font>
      <sz val="10.0"/>
      <color rgb="FF2425FF"/>
      <name val="Arial"/>
    </font>
    <font>
      <sz val="10.0"/>
      <color rgb="FF0000FF"/>
      <name val="Arial"/>
    </font>
    <font>
      <sz val="9.0"/>
      <color rgb="FFA5A5A5"/>
      <name val="Arial"/>
    </font>
    <font>
      <b/>
      <sz val="9.0"/>
      <color rgb="FFFF0000"/>
      <name val="Arial"/>
    </font>
    <font>
      <b/>
      <sz val="11.0"/>
      <color rgb="FF1F4E79"/>
      <name val="Calibri"/>
    </font>
    <font>
      <b/>
      <sz val="11.0"/>
      <color theme="1"/>
      <name val="Calibri"/>
    </font>
    <font>
      <b/>
      <sz val="11.0"/>
      <color rgb="FF006100"/>
      <name val="Calibri"/>
    </font>
    <font>
      <i/>
      <sz val="10.0"/>
      <color rgb="FF808080"/>
      <name val="Calibri"/>
    </font>
    <font>
      <color theme="1"/>
      <name val="Calibri"/>
      <scheme val="minor"/>
    </font>
    <font>
      <sz val="11.0"/>
      <color rgb="FFA5A5A5"/>
      <name val="Calibri"/>
    </font>
    <font>
      <sz val="11.0"/>
      <color rgb="FF2425FF"/>
      <name val="Calibri"/>
    </font>
    <font>
      <b/>
      <sz val="11.0"/>
      <color rgb="FF2425FF"/>
      <name val="Arial"/>
    </font>
    <font>
      <sz val="11.0"/>
      <color rgb="FFFF0000"/>
      <name val="Calibri"/>
    </font>
    <font>
      <b/>
      <sz val="11.0"/>
      <color rgb="FFA5A5A5"/>
      <name val="Arial"/>
    </font>
    <font>
      <b/>
      <i/>
      <sz val="10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EBF1FF"/>
        <bgColor rgb="FFEBF1FF"/>
      </patternFill>
    </fill>
    <fill>
      <patternFill patternType="solid">
        <fgColor rgb="FFE2EFDA"/>
        <bgColor rgb="FFE2EFDA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0" fillId="0" fontId="0" numFmtId="0" xfId="0" applyFont="1"/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7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8" fillId="0" fontId="8" numFmtId="0" xfId="0" applyAlignment="1" applyBorder="1" applyFont="1">
      <alignment vertical="bottom"/>
    </xf>
    <xf borderId="8" fillId="0" fontId="8" numFmtId="0" xfId="0" applyAlignment="1" applyBorder="1" applyFont="1">
      <alignment readingOrder="0" vertical="bottom"/>
    </xf>
    <xf borderId="7" fillId="0" fontId="8" numFmtId="0" xfId="0" applyAlignment="1" applyBorder="1" applyFont="1">
      <alignment vertical="bottom"/>
    </xf>
    <xf borderId="0" fillId="0" fontId="8" numFmtId="0" xfId="0" applyAlignment="1" applyFont="1">
      <alignment readingOrder="0" vertical="bottom"/>
    </xf>
    <xf borderId="7" fillId="2" fontId="8" numFmtId="0" xfId="0" applyAlignment="1" applyBorder="1" applyFill="1" applyFont="1">
      <alignment readingOrder="0" vertical="bottom"/>
    </xf>
    <xf borderId="0" fillId="0" fontId="8" numFmtId="9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1" numFmtId="0" xfId="0" applyAlignment="1" applyFont="1">
      <alignment vertical="top"/>
    </xf>
    <xf borderId="7" fillId="2" fontId="8" numFmtId="0" xfId="0" applyAlignment="1" applyBorder="1" applyFont="1">
      <alignment readingOrder="0" vertical="top"/>
    </xf>
    <xf borderId="0" fillId="0" fontId="8" numFmtId="0" xfId="0" applyAlignment="1" applyFont="1">
      <alignment vertical="top"/>
    </xf>
    <xf borderId="0" fillId="0" fontId="8" numFmtId="9" xfId="0" applyAlignment="1" applyFont="1" applyNumberFormat="1">
      <alignment horizontal="right" readingOrder="0" vertical="top"/>
    </xf>
    <xf borderId="0" fillId="0" fontId="8" numFmtId="164" xfId="0" applyAlignment="1" applyFont="1" applyNumberFormat="1">
      <alignment horizontal="right" readingOrder="0" vertical="top"/>
    </xf>
    <xf borderId="0" fillId="0" fontId="8" numFmtId="0" xfId="0" applyAlignment="1" applyFont="1">
      <alignment vertical="top"/>
    </xf>
    <xf borderId="8" fillId="0" fontId="8" numFmtId="0" xfId="0" applyAlignment="1" applyBorder="1" applyFont="1">
      <alignment readingOrder="0" shrinkToFit="0" vertical="top" wrapText="1"/>
    </xf>
    <xf borderId="9" fillId="0" fontId="9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9" xfId="0" applyAlignment="1" applyBorder="1" applyFont="1" applyNumberFormat="1">
      <alignment horizontal="right" vertical="bottom"/>
    </xf>
    <xf borderId="11" fillId="0" fontId="8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12" fillId="3" fontId="11" numFmtId="0" xfId="0" applyAlignment="1" applyBorder="1" applyFill="1" applyFont="1">
      <alignment horizontal="left" shrinkToFit="0" vertical="center" wrapText="1"/>
    </xf>
    <xf borderId="13" fillId="3" fontId="12" numFmtId="0" xfId="0" applyBorder="1" applyFont="1"/>
    <xf borderId="14" fillId="3" fontId="12" numFmtId="0" xfId="0" applyBorder="1" applyFont="1"/>
    <xf borderId="15" fillId="3" fontId="12" numFmtId="0" xfId="0" applyBorder="1" applyFont="1"/>
    <xf borderId="14" fillId="3" fontId="6" numFmtId="0" xfId="0" applyAlignment="1" applyBorder="1" applyFont="1">
      <alignment horizontal="left" shrinkToFit="0" vertical="center" wrapText="1"/>
    </xf>
    <xf borderId="14" fillId="3" fontId="8" numFmtId="0" xfId="0" applyAlignment="1" applyBorder="1" applyFont="1">
      <alignment horizontal="left" shrinkToFit="0" vertical="center" wrapText="1"/>
    </xf>
    <xf borderId="15" fillId="3" fontId="6" numFmtId="0" xfId="0" applyAlignment="1" applyBorder="1" applyFont="1">
      <alignment horizontal="left" shrinkToFit="0" vertical="center" wrapText="1"/>
    </xf>
    <xf borderId="15" fillId="3" fontId="8" numFmtId="0" xfId="0" applyAlignment="1" applyBorder="1" applyFont="1">
      <alignment horizontal="left" shrinkToFit="0" vertical="center" wrapText="1"/>
    </xf>
    <xf borderId="16" fillId="3" fontId="8" numFmtId="0" xfId="0" applyAlignment="1" applyBorder="1" applyFont="1">
      <alignment horizontal="left" shrinkToFit="0" vertical="center" wrapText="1"/>
    </xf>
    <xf borderId="17" fillId="3" fontId="12" numFmtId="0" xfId="0" applyBorder="1" applyFont="1"/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18" fillId="4" fontId="6" numFmtId="0" xfId="0" applyBorder="1" applyFill="1" applyFont="1"/>
    <xf borderId="0" fillId="0" fontId="8" numFmtId="0" xfId="0" applyAlignment="1" applyFont="1">
      <alignment horizontal="left" shrinkToFit="0" vertical="center" wrapText="1"/>
    </xf>
    <xf borderId="18" fillId="5" fontId="15" numFmtId="165" xfId="0" applyAlignment="1" applyBorder="1" applyFill="1" applyFont="1" applyNumberFormat="1">
      <alignment horizontal="right" vertical="center"/>
    </xf>
    <xf borderId="18" fillId="0" fontId="8" numFmtId="166" xfId="0" applyAlignment="1" applyBorder="1" applyFont="1" applyNumberFormat="1">
      <alignment horizontal="right" vertical="center"/>
    </xf>
    <xf borderId="0" fillId="0" fontId="14" numFmtId="0" xfId="0" applyAlignment="1" applyFont="1">
      <alignment horizontal="right" shrinkToFit="0" vertical="center" wrapText="1"/>
    </xf>
    <xf borderId="18" fillId="0" fontId="8" numFmtId="167" xfId="0" applyAlignment="1" applyBorder="1" applyFont="1" applyNumberFormat="1">
      <alignment horizontal="right" vertical="center"/>
    </xf>
    <xf borderId="18" fillId="0" fontId="8" numFmtId="10" xfId="0" applyAlignment="1" applyBorder="1" applyFont="1" applyNumberFormat="1">
      <alignment horizontal="right" vertical="center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right" vertical="center"/>
    </xf>
    <xf borderId="0" fillId="0" fontId="12" numFmtId="0" xfId="0" applyFont="1"/>
    <xf borderId="18" fillId="0" fontId="8" numFmtId="164" xfId="0" applyAlignment="1" applyBorder="1" applyFont="1" applyNumberFormat="1">
      <alignment horizontal="right" vertical="center"/>
    </xf>
    <xf borderId="18" fillId="5" fontId="16" numFmtId="0" xfId="0" applyAlignment="1" applyBorder="1" applyFont="1">
      <alignment horizontal="right" vertical="center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right" vertical="center"/>
    </xf>
    <xf borderId="0" fillId="0" fontId="17" numFmtId="10" xfId="0" applyAlignment="1" applyFont="1" applyNumberFormat="1">
      <alignment horizontal="right" vertical="center"/>
    </xf>
    <xf borderId="18" fillId="5" fontId="15" numFmtId="166" xfId="0" applyAlignment="1" applyBorder="1" applyFont="1" applyNumberFormat="1">
      <alignment horizontal="right" vertical="center"/>
    </xf>
    <xf borderId="0" fillId="0" fontId="10" numFmtId="0" xfId="0" applyAlignment="1" applyFont="1">
      <alignment horizontal="left" shrinkToFit="0" vertical="center" wrapText="1"/>
    </xf>
    <xf borderId="18" fillId="6" fontId="10" numFmtId="166" xfId="0" applyAlignment="1" applyBorder="1" applyFill="1" applyFont="1" applyNumberFormat="1">
      <alignment horizontal="right" vertical="center"/>
    </xf>
    <xf borderId="0" fillId="0" fontId="18" numFmtId="0" xfId="0" applyAlignment="1" applyFont="1">
      <alignment horizontal="left" shrinkToFit="0" vertical="center" wrapText="1"/>
    </xf>
    <xf borderId="18" fillId="0" fontId="8" numFmtId="4" xfId="0" applyAlignment="1" applyBorder="1" applyFont="1" applyNumberFormat="1">
      <alignment horizontal="right" vertical="center"/>
    </xf>
    <xf borderId="18" fillId="0" fontId="12" numFmtId="0" xfId="0" applyBorder="1" applyFont="1"/>
    <xf borderId="18" fillId="0" fontId="12" numFmtId="167" xfId="0" applyAlignment="1" applyBorder="1" applyFont="1" applyNumberFormat="1">
      <alignment horizontal="right" vertical="center"/>
    </xf>
    <xf borderId="18" fillId="0" fontId="12" numFmtId="4" xfId="0" applyAlignment="1" applyBorder="1" applyFont="1" applyNumberFormat="1">
      <alignment horizontal="right" vertical="center"/>
    </xf>
    <xf borderId="19" fillId="0" fontId="19" numFmtId="0" xfId="0" applyBorder="1" applyFont="1"/>
    <xf borderId="20" fillId="0" fontId="12" numFmtId="0" xfId="0" applyBorder="1" applyFont="1"/>
    <xf borderId="21" fillId="0" fontId="12" numFmtId="0" xfId="0" applyBorder="1" applyFont="1"/>
    <xf borderId="7" fillId="0" fontId="20" numFmtId="0" xfId="0" applyAlignment="1" applyBorder="1" applyFont="1">
      <alignment horizontal="left" shrinkToFit="0" vertical="center" wrapText="1"/>
    </xf>
    <xf borderId="18" fillId="6" fontId="20" numFmtId="166" xfId="0" applyAlignment="1" applyBorder="1" applyFont="1" applyNumberFormat="1">
      <alignment horizontal="right" vertical="center"/>
    </xf>
    <xf borderId="8" fillId="0" fontId="12" numFmtId="0" xfId="0" applyBorder="1" applyFont="1"/>
    <xf borderId="7" fillId="0" fontId="21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7" fillId="0" fontId="19" numFmtId="0" xfId="0" applyBorder="1" applyFont="1"/>
    <xf borderId="7" fillId="0" fontId="12" numFmtId="0" xfId="0" applyBorder="1" applyFont="1"/>
    <xf borderId="0" fillId="0" fontId="12" numFmtId="167" xfId="0" applyFont="1" applyNumberFormat="1"/>
    <xf borderId="8" fillId="0" fontId="22" numFmtId="0" xfId="0" applyBorder="1" applyFont="1"/>
    <xf borderId="9" fillId="0" fontId="12" numFmtId="0" xfId="0" applyBorder="1" applyFont="1"/>
    <xf borderId="22" fillId="6" fontId="12" numFmtId="166" xfId="0" applyBorder="1" applyFont="1" applyNumberFormat="1"/>
    <xf borderId="11" fillId="0" fontId="12" numFmtId="0" xfId="0" applyBorder="1" applyFont="1"/>
    <xf borderId="18" fillId="5" fontId="15" numFmtId="0" xfId="0" applyAlignment="1" applyBorder="1" applyFont="1">
      <alignment horizontal="right" vertical="center"/>
    </xf>
    <xf borderId="18" fillId="5" fontId="15" numFmtId="164" xfId="0" applyAlignment="1" applyBorder="1" applyFont="1" applyNumberFormat="1">
      <alignment horizontal="right" vertical="center"/>
    </xf>
    <xf borderId="0" fillId="0" fontId="23" numFmtId="0" xfId="0" applyFont="1"/>
    <xf borderId="0" fillId="0" fontId="24" numFmtId="0" xfId="0" applyFont="1"/>
    <xf borderId="0" fillId="0" fontId="25" numFmtId="0" xfId="0" applyFont="1"/>
    <xf borderId="18" fillId="4" fontId="26" numFmtId="0" xfId="0" applyBorder="1" applyFont="1"/>
    <xf borderId="0" fillId="0" fontId="17" numFmtId="167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right" vertical="center"/>
    </xf>
    <xf borderId="0" fillId="0" fontId="12" numFmtId="166" xfId="0" applyFont="1" applyNumberFormat="1"/>
    <xf borderId="18" fillId="5" fontId="15" numFmtId="164" xfId="0" applyAlignment="1" applyBorder="1" applyFont="1" applyNumberFormat="1">
      <alignment horizontal="right" readingOrder="0" vertical="center"/>
    </xf>
    <xf borderId="18" fillId="5" fontId="15" numFmtId="165" xfId="0" applyAlignment="1" applyBorder="1" applyFont="1" applyNumberFormat="1">
      <alignment horizontal="right" readingOrder="0" vertical="center"/>
    </xf>
    <xf borderId="0" fillId="0" fontId="25" numFmtId="0" xfId="0" applyAlignment="1" applyFont="1">
      <alignment horizontal="right" readingOrder="0"/>
    </xf>
    <xf borderId="0" fillId="0" fontId="12" numFmtId="164" xfId="0" applyFont="1" applyNumberFormat="1"/>
    <xf borderId="8" fillId="0" fontId="12" numFmtId="0" xfId="0" applyAlignment="1" applyBorder="1" applyFont="1">
      <alignment horizontal="left" shrinkToFit="0" vertical="center" wrapText="1"/>
    </xf>
    <xf borderId="7" fillId="0" fontId="21" numFmtId="0" xfId="0" applyBorder="1" applyFont="1"/>
    <xf borderId="23" fillId="6" fontId="20" numFmtId="166" xfId="0" applyBorder="1" applyFont="1" applyNumberFormat="1"/>
    <xf borderId="24" fillId="0" fontId="12" numFmtId="0" xfId="0" applyBorder="1" applyFont="1"/>
    <xf borderId="25" fillId="0" fontId="12" numFmtId="0" xfId="0" applyBorder="1" applyFont="1"/>
    <xf borderId="7" fillId="0" fontId="19" numFmtId="0" xfId="0" applyAlignment="1" applyBorder="1" applyFont="1">
      <alignment horizontal="left" shrinkToFit="0" vertical="center" wrapText="1"/>
    </xf>
    <xf borderId="18" fillId="6" fontId="12" numFmtId="166" xfId="0" applyAlignment="1" applyBorder="1" applyFont="1" applyNumberFormat="1">
      <alignment horizontal="right" vertical="center"/>
    </xf>
    <xf borderId="24" fillId="0" fontId="19" numFmtId="0" xfId="0" applyBorder="1" applyFont="1"/>
    <xf borderId="9" fillId="0" fontId="12" numFmtId="0" xfId="0" applyAlignment="1" applyBorder="1" applyFont="1">
      <alignment horizontal="left" shrinkToFit="0" vertical="center" wrapText="1"/>
    </xf>
    <xf borderId="26" fillId="6" fontId="12" numFmtId="166" xfId="0" applyAlignment="1" applyBorder="1" applyFont="1" applyNumberFormat="1">
      <alignment horizontal="right" vertical="center"/>
    </xf>
    <xf borderId="27" fillId="0" fontId="12" numFmtId="4" xfId="0" applyAlignment="1" applyBorder="1" applyFont="1" applyNumberFormat="1">
      <alignment horizontal="right" vertical="center"/>
    </xf>
    <xf borderId="0" fillId="0" fontId="13" numFmtId="0" xfId="0" applyAlignment="1" applyFont="1">
      <alignment horizontal="left" shrinkToFit="0" vertical="center" wrapText="0"/>
    </xf>
    <xf borderId="18" fillId="5" fontId="15" numFmtId="1" xfId="0" applyAlignment="1" applyBorder="1" applyFont="1" applyNumberFormat="1">
      <alignment horizontal="right" readingOrder="0" vertical="center"/>
    </xf>
    <xf borderId="0" fillId="0" fontId="25" numFmtId="165" xfId="0" applyFont="1" applyNumberFormat="1"/>
    <xf borderId="0" fillId="0" fontId="17" numFmtId="166" xfId="0" applyAlignment="1" applyFont="1" applyNumberFormat="1">
      <alignment horizontal="right" vertical="center"/>
    </xf>
    <xf borderId="7" fillId="0" fontId="20" numFmtId="0" xfId="0" applyBorder="1" applyFont="1"/>
    <xf borderId="24" fillId="0" fontId="21" numFmtId="0" xfId="0" applyBorder="1" applyFont="1"/>
    <xf borderId="18" fillId="6" fontId="20" numFmtId="166" xfId="0" applyBorder="1" applyFont="1" applyNumberFormat="1"/>
    <xf borderId="18" fillId="5" fontId="16" numFmtId="3" xfId="0" applyAlignment="1" applyBorder="1" applyFont="1" applyNumberFormat="1">
      <alignment horizontal="right" vertical="center"/>
    </xf>
    <xf borderId="18" fillId="4" fontId="28" numFmtId="0" xfId="0" applyBorder="1" applyFont="1"/>
    <xf borderId="0" fillId="0" fontId="28" numFmtId="0" xfId="0" applyAlignment="1" applyFont="1">
      <alignment horizontal="right" vertical="center"/>
    </xf>
    <xf borderId="25" fillId="0" fontId="29" numFmtId="0" xfId="0" applyBorder="1" applyFont="1"/>
    <xf borderId="14" fillId="5" fontId="12" numFmtId="0" xfId="0" applyAlignment="1" applyBorder="1" applyFont="1">
      <alignment horizontal="left" shrinkToFit="0" vertical="center" wrapText="1"/>
    </xf>
    <xf borderId="18" fillId="5" fontId="25" numFmtId="166" xfId="0" applyAlignment="1" applyBorder="1" applyFont="1" applyNumberFormat="1">
      <alignment horizontal="right" vertical="center"/>
    </xf>
    <xf borderId="18" fillId="5" fontId="15" numFmtId="1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MbYNpAec47-2N_poehI7_5HbRcY2vYCco-xDFZNkXI/edit?gid=0" TargetMode="External"/><Relationship Id="rId2" Type="http://schemas.openxmlformats.org/officeDocument/2006/relationships/hyperlink" Target="https://docs.google.com/document/d/1HdE4ZdtmT8i7hq3bSDfih1OVzAz9FdzH0rJC7E7qJaI/edit?pli=1&amp;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24.57"/>
    <col customWidth="1" min="3" max="3" width="14.43"/>
    <col customWidth="1" min="4" max="4" width="9.0"/>
    <col customWidth="1" min="5" max="5" width="26.86"/>
    <col customWidth="1" min="6" max="6" width="10.29"/>
    <col customWidth="1" min="7" max="7" width="16.86"/>
    <col customWidth="1" min="8" max="8" width="11.29"/>
    <col customWidth="1" min="9" max="9" width="24.86"/>
    <col customWidth="1" min="10" max="10" width="115.14"/>
    <col customWidth="1" min="11" max="26" width="8.71"/>
  </cols>
  <sheetData>
    <row r="1" ht="15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2</v>
      </c>
      <c r="C3" s="6"/>
      <c r="D3" s="6"/>
      <c r="E3" s="6"/>
      <c r="F3" s="6"/>
      <c r="G3" s="6"/>
      <c r="H3" s="6"/>
      <c r="I3" s="6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"/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1" t="s">
        <v>11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1"/>
      <c r="B5" s="12" t="s">
        <v>12</v>
      </c>
      <c r="C5" s="13" t="s">
        <v>13</v>
      </c>
      <c r="D5" s="13" t="s">
        <v>14</v>
      </c>
      <c r="E5" s="13" t="s">
        <v>15</v>
      </c>
      <c r="F5" s="14">
        <v>1.0</v>
      </c>
      <c r="G5" s="13"/>
      <c r="H5" s="15" t="s">
        <v>16</v>
      </c>
      <c r="I5" s="13" t="s">
        <v>17</v>
      </c>
      <c r="J5" s="16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2" t="s">
        <v>12</v>
      </c>
      <c r="C6" s="13" t="s">
        <v>19</v>
      </c>
      <c r="D6" s="13" t="s">
        <v>14</v>
      </c>
      <c r="E6" s="13" t="s">
        <v>15</v>
      </c>
      <c r="F6" s="14">
        <v>1.0</v>
      </c>
      <c r="G6" s="13"/>
      <c r="H6" s="15" t="s">
        <v>16</v>
      </c>
      <c r="I6" s="13" t="s">
        <v>17</v>
      </c>
      <c r="J6" s="17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2" t="s">
        <v>21</v>
      </c>
      <c r="C7" s="13" t="s">
        <v>22</v>
      </c>
      <c r="D7" s="13" t="s">
        <v>14</v>
      </c>
      <c r="E7" s="13" t="s">
        <v>23</v>
      </c>
      <c r="F7" s="14">
        <v>0.8</v>
      </c>
      <c r="G7" s="13" t="s">
        <v>24</v>
      </c>
      <c r="H7" s="14">
        <v>0.2</v>
      </c>
      <c r="I7" s="13" t="s">
        <v>17</v>
      </c>
      <c r="J7" s="16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2" t="s">
        <v>21</v>
      </c>
      <c r="C8" s="13" t="s">
        <v>25</v>
      </c>
      <c r="D8" s="13" t="s">
        <v>14</v>
      </c>
      <c r="E8" s="13" t="s">
        <v>23</v>
      </c>
      <c r="F8" s="14">
        <v>0.6</v>
      </c>
      <c r="G8" s="13" t="s">
        <v>24</v>
      </c>
      <c r="H8" s="14">
        <v>0.4</v>
      </c>
      <c r="I8" s="13" t="s">
        <v>17</v>
      </c>
      <c r="J8" s="16" t="s">
        <v>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2" t="s">
        <v>26</v>
      </c>
      <c r="C9" s="13" t="s">
        <v>22</v>
      </c>
      <c r="D9" s="13" t="s">
        <v>14</v>
      </c>
      <c r="E9" s="13" t="s">
        <v>27</v>
      </c>
      <c r="F9" s="14">
        <v>0.8</v>
      </c>
      <c r="G9" s="13" t="s">
        <v>24</v>
      </c>
      <c r="H9" s="14">
        <v>0.2</v>
      </c>
      <c r="I9" s="13" t="s">
        <v>17</v>
      </c>
      <c r="J9" s="16" t="s">
        <v>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2" t="s">
        <v>26</v>
      </c>
      <c r="C10" s="13" t="s">
        <v>25</v>
      </c>
      <c r="D10" s="13" t="s">
        <v>14</v>
      </c>
      <c r="E10" s="13" t="s">
        <v>27</v>
      </c>
      <c r="F10" s="14">
        <v>0.6</v>
      </c>
      <c r="G10" s="13" t="s">
        <v>24</v>
      </c>
      <c r="H10" s="14">
        <v>0.4</v>
      </c>
      <c r="I10" s="13" t="s">
        <v>17</v>
      </c>
      <c r="J10" s="16" t="s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8" t="s">
        <v>30</v>
      </c>
      <c r="C11" s="13" t="s">
        <v>31</v>
      </c>
      <c r="D11" s="19" t="s">
        <v>32</v>
      </c>
      <c r="E11" s="19" t="s">
        <v>33</v>
      </c>
      <c r="F11" s="14">
        <v>0.6</v>
      </c>
      <c r="G11" s="13" t="s">
        <v>15</v>
      </c>
      <c r="H11" s="14">
        <v>0.4</v>
      </c>
      <c r="I11" s="19" t="s">
        <v>34</v>
      </c>
      <c r="J11" s="17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hidden="1" customHeight="1">
      <c r="A12" s="1"/>
      <c r="B12" s="20" t="s">
        <v>36</v>
      </c>
      <c r="C12" s="13" t="s">
        <v>31</v>
      </c>
      <c r="D12" s="19" t="s">
        <v>32</v>
      </c>
      <c r="E12" s="13" t="s">
        <v>37</v>
      </c>
      <c r="F12" s="21">
        <v>0.25</v>
      </c>
      <c r="G12" s="13" t="s">
        <v>15</v>
      </c>
      <c r="H12" s="21">
        <v>0.25</v>
      </c>
      <c r="I12" s="13"/>
      <c r="J12" s="17" t="s">
        <v>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2" t="s">
        <v>39</v>
      </c>
      <c r="C13" s="13" t="s">
        <v>31</v>
      </c>
      <c r="D13" s="13" t="s">
        <v>32</v>
      </c>
      <c r="E13" s="13" t="s">
        <v>40</v>
      </c>
      <c r="F13" s="14">
        <v>0.8</v>
      </c>
      <c r="G13" s="13" t="s">
        <v>15</v>
      </c>
      <c r="H13" s="14">
        <v>0.2</v>
      </c>
      <c r="I13" s="13" t="s">
        <v>41</v>
      </c>
      <c r="J13" s="16" t="s">
        <v>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2" t="s">
        <v>43</v>
      </c>
      <c r="C14" s="13" t="s">
        <v>31</v>
      </c>
      <c r="D14" s="13" t="s">
        <v>14</v>
      </c>
      <c r="E14" s="13" t="s">
        <v>24</v>
      </c>
      <c r="F14" s="14">
        <v>0.8</v>
      </c>
      <c r="G14" s="13" t="s">
        <v>27</v>
      </c>
      <c r="H14" s="14">
        <v>0.2</v>
      </c>
      <c r="I14" s="13" t="s">
        <v>44</v>
      </c>
      <c r="J14" s="17" t="s">
        <v>45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2" t="s">
        <v>46</v>
      </c>
      <c r="C15" s="13" t="s">
        <v>31</v>
      </c>
      <c r="D15" s="13" t="s">
        <v>14</v>
      </c>
      <c r="E15" s="13" t="s">
        <v>24</v>
      </c>
      <c r="F15" s="14">
        <v>0.8</v>
      </c>
      <c r="G15" s="13" t="s">
        <v>27</v>
      </c>
      <c r="H15" s="14">
        <v>0.2</v>
      </c>
      <c r="I15" s="13" t="s">
        <v>44</v>
      </c>
      <c r="J15" s="16" t="s">
        <v>47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2" t="s">
        <v>48</v>
      </c>
      <c r="C16" s="13" t="s">
        <v>49</v>
      </c>
      <c r="D16" s="13" t="s">
        <v>14</v>
      </c>
      <c r="E16" s="13" t="s">
        <v>50</v>
      </c>
      <c r="F16" s="14">
        <v>1.0</v>
      </c>
      <c r="G16" s="13" t="s">
        <v>51</v>
      </c>
      <c r="H16" s="14" t="s">
        <v>16</v>
      </c>
      <c r="I16" s="13" t="s">
        <v>52</v>
      </c>
      <c r="J16" s="17" t="s">
        <v>53</v>
      </c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2" t="s">
        <v>48</v>
      </c>
      <c r="C17" s="13" t="s">
        <v>54</v>
      </c>
      <c r="D17" s="13" t="s">
        <v>14</v>
      </c>
      <c r="E17" s="13" t="s">
        <v>50</v>
      </c>
      <c r="F17" s="14">
        <v>0.4</v>
      </c>
      <c r="G17" s="13" t="s">
        <v>51</v>
      </c>
      <c r="H17" s="14">
        <v>0.6</v>
      </c>
      <c r="I17" s="13" t="s">
        <v>52</v>
      </c>
      <c r="J17" s="17" t="s">
        <v>53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2" t="s">
        <v>48</v>
      </c>
      <c r="C18" s="13" t="s">
        <v>55</v>
      </c>
      <c r="D18" s="13" t="s">
        <v>14</v>
      </c>
      <c r="E18" s="13" t="s">
        <v>50</v>
      </c>
      <c r="F18" s="14">
        <v>0.6</v>
      </c>
      <c r="G18" s="13" t="s">
        <v>51</v>
      </c>
      <c r="H18" s="14">
        <v>0.4</v>
      </c>
      <c r="I18" s="13" t="s">
        <v>52</v>
      </c>
      <c r="J18" s="17" t="s">
        <v>53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2" t="s">
        <v>48</v>
      </c>
      <c r="C19" s="13" t="s">
        <v>56</v>
      </c>
      <c r="D19" s="13" t="s">
        <v>14</v>
      </c>
      <c r="E19" s="13" t="s">
        <v>50</v>
      </c>
      <c r="F19" s="14">
        <v>0.5</v>
      </c>
      <c r="G19" s="13" t="s">
        <v>51</v>
      </c>
      <c r="H19" s="14">
        <v>0.5</v>
      </c>
      <c r="I19" s="23" t="s">
        <v>52</v>
      </c>
      <c r="J19" s="17" t="s">
        <v>53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idden="1">
      <c r="A20" s="24"/>
      <c r="B20" s="25" t="s">
        <v>57</v>
      </c>
      <c r="C20" s="26" t="s">
        <v>31</v>
      </c>
      <c r="D20" s="26" t="s">
        <v>14</v>
      </c>
      <c r="E20" s="26" t="s">
        <v>24</v>
      </c>
      <c r="F20" s="27">
        <v>0.75</v>
      </c>
      <c r="G20" s="26" t="s">
        <v>27</v>
      </c>
      <c r="H20" s="28">
        <v>0.125</v>
      </c>
      <c r="I20" s="29"/>
      <c r="J20" s="30" t="s">
        <v>58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1"/>
      <c r="B21" s="31" t="s">
        <v>59</v>
      </c>
      <c r="C21" s="32" t="s">
        <v>31</v>
      </c>
      <c r="D21" s="32" t="s">
        <v>14</v>
      </c>
      <c r="E21" s="32" t="s">
        <v>60</v>
      </c>
      <c r="F21" s="33">
        <v>1.0</v>
      </c>
      <c r="G21" s="32"/>
      <c r="H21" s="33">
        <v>0.0</v>
      </c>
      <c r="I21" s="32" t="s">
        <v>61</v>
      </c>
      <c r="J21" s="34" t="s">
        <v>62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/>
      <c r="C22" s="23"/>
      <c r="D22" s="23"/>
      <c r="E22" s="23"/>
      <c r="F22" s="23"/>
      <c r="G22" s="23"/>
      <c r="H22" s="23"/>
      <c r="I22" s="23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5" t="s">
        <v>63</v>
      </c>
      <c r="C23" s="23"/>
      <c r="D23" s="23"/>
      <c r="E23" s="23"/>
      <c r="F23" s="23"/>
      <c r="G23" s="23"/>
      <c r="H23" s="23"/>
      <c r="I23" s="23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9" t="s">
        <v>31</v>
      </c>
      <c r="C24" s="23" t="s">
        <v>31</v>
      </c>
      <c r="D24" s="23" t="s">
        <v>16</v>
      </c>
      <c r="E24" s="35" t="s">
        <v>64</v>
      </c>
      <c r="F24" s="23" t="s">
        <v>65</v>
      </c>
      <c r="G24" s="23"/>
      <c r="H24" s="23"/>
      <c r="I24" s="23"/>
      <c r="J24" s="19" t="s">
        <v>66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9" t="s">
        <v>67</v>
      </c>
      <c r="C25" s="23" t="s">
        <v>31</v>
      </c>
      <c r="D25" s="23" t="s">
        <v>16</v>
      </c>
      <c r="E25" s="35" t="s">
        <v>68</v>
      </c>
      <c r="F25" s="23" t="s">
        <v>65</v>
      </c>
      <c r="G25" s="23"/>
      <c r="H25" s="23"/>
      <c r="I25" s="23"/>
      <c r="J25" s="23" t="s">
        <v>69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3" t="s">
        <v>70</v>
      </c>
      <c r="C26" s="23" t="s">
        <v>31</v>
      </c>
      <c r="D26" s="23" t="s">
        <v>14</v>
      </c>
      <c r="E26" s="35" t="s">
        <v>24</v>
      </c>
      <c r="F26" s="23"/>
      <c r="G26" s="23"/>
      <c r="H26" s="23"/>
      <c r="I26" s="23"/>
      <c r="J26" s="23" t="s">
        <v>71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9" t="s">
        <v>31</v>
      </c>
      <c r="C27" s="19" t="s">
        <v>31</v>
      </c>
      <c r="D27" s="19" t="s">
        <v>16</v>
      </c>
      <c r="E27" s="36" t="s">
        <v>72</v>
      </c>
      <c r="F27" s="23"/>
      <c r="G27" s="23"/>
      <c r="H27" s="23"/>
      <c r="I27" s="23"/>
      <c r="J27" s="19" t="s">
        <v>73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3" t="s">
        <v>74</v>
      </c>
      <c r="C28" s="23" t="s">
        <v>31</v>
      </c>
      <c r="D28" s="23" t="s">
        <v>16</v>
      </c>
      <c r="E28" s="35" t="s">
        <v>75</v>
      </c>
      <c r="F28" s="23"/>
      <c r="G28" s="23"/>
      <c r="H28" s="23"/>
      <c r="I28" s="23"/>
      <c r="J28" s="19" t="s">
        <v>76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3" t="s">
        <v>74</v>
      </c>
      <c r="C29" s="23" t="s">
        <v>74</v>
      </c>
      <c r="D29" s="23" t="s">
        <v>16</v>
      </c>
      <c r="E29" s="35" t="s">
        <v>77</v>
      </c>
      <c r="F29" s="23"/>
      <c r="G29" s="23"/>
      <c r="H29" s="23"/>
      <c r="I29" s="23"/>
      <c r="J29" s="19" t="s">
        <v>78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9" t="s">
        <v>31</v>
      </c>
      <c r="C30" s="19" t="s">
        <v>31</v>
      </c>
      <c r="D30" s="19" t="s">
        <v>16</v>
      </c>
      <c r="E30" s="36" t="s">
        <v>79</v>
      </c>
      <c r="F30" s="23"/>
      <c r="G30" s="23"/>
      <c r="H30" s="23"/>
      <c r="I30" s="23"/>
      <c r="J30" s="19" t="s">
        <v>80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3"/>
      <c r="C31" s="23"/>
      <c r="D31" s="23"/>
      <c r="E31" s="19"/>
      <c r="F31" s="23"/>
      <c r="G31" s="23"/>
      <c r="H31" s="23"/>
      <c r="I31" s="23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6" t="s">
        <v>81</v>
      </c>
      <c r="C33" s="23"/>
      <c r="D33" s="23"/>
      <c r="E33" s="23"/>
      <c r="F33" s="23"/>
      <c r="G33" s="23"/>
      <c r="H33" s="23"/>
      <c r="I33" s="23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9" t="s">
        <v>82</v>
      </c>
      <c r="C34" s="23"/>
      <c r="D34" s="23"/>
      <c r="E34" s="23"/>
      <c r="F34" s="23"/>
      <c r="G34" s="23"/>
      <c r="H34" s="23"/>
      <c r="I34" s="23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9" t="s">
        <v>83</v>
      </c>
      <c r="C35" s="23"/>
      <c r="D35" s="23"/>
      <c r="E35" s="23"/>
      <c r="F35" s="23"/>
      <c r="G35" s="23"/>
      <c r="H35" s="23"/>
      <c r="I35" s="23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9" t="s">
        <v>84</v>
      </c>
      <c r="C36" s="23"/>
      <c r="D36" s="23"/>
      <c r="E36" s="23"/>
      <c r="F36" s="23"/>
      <c r="G36" s="23"/>
      <c r="H36" s="23"/>
      <c r="I36" s="23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9" t="s">
        <v>85</v>
      </c>
      <c r="C37" s="23"/>
      <c r="D37" s="23"/>
      <c r="E37" s="23"/>
      <c r="F37" s="23"/>
      <c r="G37" s="23"/>
      <c r="H37" s="23"/>
      <c r="I37" s="23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 t="s">
        <v>86</v>
      </c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">
    <mergeCell ref="B3:J3"/>
  </mergeCells>
  <hyperlinks>
    <hyperlink r:id="rId1" location="gid=0" ref="B1"/>
    <hyperlink r:id="rId2" ref="B2"/>
    <hyperlink display="AE" location="'AE Calculator'!A1" ref="B5"/>
    <hyperlink display="AE" location="'AE Calculator'!A1" ref="B6"/>
    <hyperlink display="AE/AM" location="'AEAM Hybrid Calculator'!A1" ref="B7"/>
    <hyperlink display="AE/AM" location="'AEAM Hybrid Calculator'!A1" ref="B8"/>
    <hyperlink display="AM" location="'AM Calculator'!A1" ref="B9"/>
    <hyperlink display="AM" location="'AM Calculator'!A1" ref="B10"/>
    <hyperlink display="SDR" location="'SDR Calculator'!A1" ref="B13"/>
    <hyperlink display="RM" location="'RM Calculator'!A1" ref="B14"/>
    <hyperlink display="CSM" location="'CSM Calculator'!A1" ref="B15"/>
    <hyperlink display="Channel" location="'Partner-Channel Calculator'!A1" ref="B16"/>
    <hyperlink display="Channel" location="'Partner-Channel Calculator'!A1" ref="B17"/>
    <hyperlink display="Channel" location="'Partner-Channel Calculator'!A1" ref="B18"/>
    <hyperlink display="Channel" location="'Partner-Channel Calculator'!A1" ref="B19"/>
    <hyperlink display="SE" location="'SE Calculator'!A1" ref="B21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5.0"/>
    <col customWidth="1" min="3" max="3" width="40.0"/>
    <col customWidth="1" min="4" max="26" width="8.86"/>
  </cols>
  <sheetData>
    <row r="2" ht="18.0" customHeight="1">
      <c r="B2" s="37" t="s">
        <v>87</v>
      </c>
      <c r="C2" s="38"/>
    </row>
    <row r="3" ht="15.0" customHeight="1">
      <c r="B3" s="39"/>
      <c r="C3" s="40"/>
    </row>
    <row r="4" ht="15.0" customHeight="1">
      <c r="B4" s="41" t="s">
        <v>88</v>
      </c>
      <c r="C4" s="40"/>
    </row>
    <row r="5" ht="15.0" customHeight="1">
      <c r="B5" s="42" t="s">
        <v>89</v>
      </c>
      <c r="C5" s="40"/>
    </row>
    <row r="6" ht="15.0" customHeight="1">
      <c r="B6" s="42" t="s">
        <v>90</v>
      </c>
      <c r="C6" s="40"/>
    </row>
    <row r="7" ht="15.0" customHeight="1">
      <c r="B7" s="42" t="s">
        <v>91</v>
      </c>
      <c r="C7" s="40"/>
    </row>
    <row r="8" ht="15.0" customHeight="1">
      <c r="B8" s="42" t="s">
        <v>92</v>
      </c>
      <c r="C8" s="40"/>
    </row>
    <row r="9" ht="15.0" customHeight="1">
      <c r="B9" s="42" t="s">
        <v>93</v>
      </c>
      <c r="C9" s="40"/>
    </row>
    <row r="10" ht="15.0" customHeight="1">
      <c r="B10" s="39"/>
      <c r="C10" s="40"/>
    </row>
    <row r="11" ht="15.0" customHeight="1">
      <c r="B11" s="41" t="s">
        <v>94</v>
      </c>
      <c r="C11" s="40"/>
    </row>
    <row r="12" ht="15.0" customHeight="1">
      <c r="B12" s="42" t="s">
        <v>95</v>
      </c>
      <c r="C12" s="40"/>
    </row>
    <row r="13" ht="15.0" customHeight="1">
      <c r="B13" s="42" t="s">
        <v>96</v>
      </c>
      <c r="C13" s="40"/>
    </row>
    <row r="14" ht="15.0" customHeight="1">
      <c r="B14" s="42" t="s">
        <v>97</v>
      </c>
      <c r="C14" s="40"/>
    </row>
    <row r="15" ht="15.0" customHeight="1">
      <c r="B15" s="42" t="s">
        <v>98</v>
      </c>
      <c r="C15" s="40"/>
    </row>
    <row r="16" ht="15.0" customHeight="1">
      <c r="B16" s="42" t="s">
        <v>99</v>
      </c>
      <c r="C16" s="40"/>
    </row>
    <row r="17" ht="15.0" customHeight="1">
      <c r="B17" s="42" t="s">
        <v>100</v>
      </c>
      <c r="C17" s="40"/>
    </row>
    <row r="18" ht="15.0" customHeight="1">
      <c r="B18" s="42" t="s">
        <v>101</v>
      </c>
      <c r="C18" s="40"/>
    </row>
    <row r="19" ht="15.0" customHeight="1">
      <c r="B19" s="39"/>
      <c r="C19" s="40"/>
    </row>
    <row r="20" ht="15.0" customHeight="1">
      <c r="B20" s="41" t="s">
        <v>102</v>
      </c>
      <c r="C20" s="40"/>
    </row>
    <row r="21" ht="15.0" customHeight="1">
      <c r="B21" s="42" t="s">
        <v>103</v>
      </c>
      <c r="C21" s="40"/>
    </row>
    <row r="22" ht="15.0" customHeight="1">
      <c r="B22" s="42" t="s">
        <v>104</v>
      </c>
      <c r="C22" s="40"/>
    </row>
    <row r="23" ht="15.0" customHeight="1">
      <c r="B23" s="42" t="s">
        <v>105</v>
      </c>
      <c r="C23" s="40"/>
    </row>
    <row r="24" ht="15.0" customHeight="1">
      <c r="B24" s="42" t="s">
        <v>106</v>
      </c>
      <c r="C24" s="40"/>
    </row>
    <row r="25" ht="15.0" customHeight="1">
      <c r="B25" s="42" t="s">
        <v>107</v>
      </c>
      <c r="C25" s="40"/>
    </row>
    <row r="26" ht="15.0" customHeight="1">
      <c r="B26" s="42" t="s">
        <v>108</v>
      </c>
      <c r="C26" s="40"/>
    </row>
    <row r="27" ht="15.0" customHeight="1">
      <c r="B27" s="42" t="s">
        <v>109</v>
      </c>
      <c r="C27" s="40"/>
    </row>
    <row r="28" ht="15.0" customHeight="1">
      <c r="B28" s="42" t="s">
        <v>110</v>
      </c>
      <c r="C28" s="40"/>
    </row>
    <row r="29" ht="15.0" customHeight="1">
      <c r="B29" s="39"/>
      <c r="C29" s="40"/>
    </row>
    <row r="30" ht="15.0" customHeight="1">
      <c r="B30" s="41" t="s">
        <v>111</v>
      </c>
      <c r="C30" s="43" t="s">
        <v>112</v>
      </c>
    </row>
    <row r="31" ht="15.0" customHeight="1">
      <c r="B31" s="42" t="s">
        <v>113</v>
      </c>
      <c r="C31" s="44" t="s">
        <v>114</v>
      </c>
    </row>
    <row r="32" ht="15.0" customHeight="1">
      <c r="B32" s="42" t="s">
        <v>115</v>
      </c>
      <c r="C32" s="44" t="s">
        <v>116</v>
      </c>
    </row>
    <row r="33" ht="15.0" customHeight="1">
      <c r="B33" s="42" t="s">
        <v>117</v>
      </c>
      <c r="C33" s="44" t="s">
        <v>118</v>
      </c>
    </row>
    <row r="34" ht="15.0" customHeight="1">
      <c r="B34" s="42" t="s">
        <v>119</v>
      </c>
      <c r="C34" s="44" t="s">
        <v>120</v>
      </c>
    </row>
    <row r="35" ht="15.0" customHeight="1">
      <c r="B35" s="45" t="s">
        <v>121</v>
      </c>
      <c r="C35" s="4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122</v>
      </c>
    </row>
    <row r="3" ht="25.5" customHeight="1">
      <c r="B3" s="48" t="s">
        <v>123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120000.0</v>
      </c>
      <c r="D6" s="48"/>
      <c r="F6" s="50" t="s">
        <v>127</v>
      </c>
      <c r="G6" s="52">
        <f>C6</f>
        <v>120000</v>
      </c>
      <c r="H6" s="53" t="s">
        <v>128</v>
      </c>
    </row>
    <row r="7" ht="15.0" customHeight="1">
      <c r="B7" s="50" t="s">
        <v>129</v>
      </c>
      <c r="C7" s="51">
        <v>950000.0</v>
      </c>
      <c r="D7" s="48"/>
      <c r="F7" s="50" t="s">
        <v>130</v>
      </c>
      <c r="G7" s="54">
        <f>IF(C7&gt;0,G6/C7,0)</f>
        <v>0.1263157895</v>
      </c>
      <c r="H7" s="48"/>
    </row>
    <row r="8" ht="15.0" customHeight="1">
      <c r="B8" s="50" t="s">
        <v>131</v>
      </c>
      <c r="C8" s="51">
        <v>950000.0</v>
      </c>
      <c r="D8" s="48"/>
      <c r="F8" s="50" t="s">
        <v>132</v>
      </c>
      <c r="G8" s="55">
        <f>IF(C7&gt;0,C8/C7,0)</f>
        <v>1</v>
      </c>
      <c r="H8" s="48"/>
    </row>
    <row r="9" ht="15.0" customHeight="1">
      <c r="B9" s="56"/>
      <c r="C9" s="57"/>
      <c r="D9" s="56"/>
      <c r="E9" s="58"/>
      <c r="F9" s="50"/>
      <c r="G9" s="55"/>
    </row>
    <row r="10" ht="15.0" customHeight="1">
      <c r="B10" s="56"/>
      <c r="C10" s="57"/>
      <c r="D10" s="58"/>
      <c r="E10" s="58"/>
      <c r="F10" s="50"/>
      <c r="G10" s="59"/>
    </row>
    <row r="11" ht="15.0" customHeight="1">
      <c r="B11" s="50" t="s">
        <v>133</v>
      </c>
      <c r="C11" s="60" t="s">
        <v>134</v>
      </c>
      <c r="D11" s="48" t="s">
        <v>135</v>
      </c>
      <c r="F11" s="50"/>
      <c r="G11" s="59"/>
    </row>
    <row r="12" ht="15.0" customHeight="1">
      <c r="B12" s="50" t="s">
        <v>136</v>
      </c>
      <c r="C12" s="51">
        <v>0.0</v>
      </c>
      <c r="D12" s="48"/>
    </row>
    <row r="13" ht="15.0" customHeight="1">
      <c r="B13" s="56"/>
      <c r="C13" s="57"/>
      <c r="D13" s="56"/>
      <c r="E13" s="58"/>
      <c r="F13" s="49" t="s">
        <v>137</v>
      </c>
      <c r="G13" s="49"/>
      <c r="H13" s="49"/>
    </row>
    <row r="14" ht="15.0" customHeight="1">
      <c r="F14" s="61" t="s">
        <v>138</v>
      </c>
      <c r="G14" s="62" t="s">
        <v>139</v>
      </c>
      <c r="H14" s="62" t="s">
        <v>140</v>
      </c>
    </row>
    <row r="15" ht="15.0" customHeight="1">
      <c r="B15" s="49" t="s">
        <v>141</v>
      </c>
      <c r="C15" s="49"/>
      <c r="D15" s="49"/>
      <c r="F15" s="50" t="s">
        <v>142</v>
      </c>
      <c r="G15" s="52">
        <f>IF(G8&gt;=1,C7*G7*1,C7*G8*G7*1)</f>
        <v>120000</v>
      </c>
      <c r="H15" s="63">
        <f>G7*1</f>
        <v>0.1263157895</v>
      </c>
    </row>
    <row r="16" ht="15.0" customHeight="1">
      <c r="B16" s="50" t="s">
        <v>143</v>
      </c>
      <c r="C16" s="64">
        <v>0.0</v>
      </c>
      <c r="D16" s="48" t="s">
        <v>144</v>
      </c>
      <c r="F16" s="50" t="s">
        <v>145</v>
      </c>
      <c r="G16" s="52">
        <f>IF(G8&gt;1,MIN(G8-1,0.25)*C7*G7*1.25,0)</f>
        <v>0</v>
      </c>
      <c r="H16" s="63">
        <f>G7*1.25</f>
        <v>0.1578947368</v>
      </c>
    </row>
    <row r="17" ht="15.0" customHeight="1">
      <c r="B17" s="50" t="s">
        <v>146</v>
      </c>
      <c r="C17" s="64">
        <v>0.0</v>
      </c>
      <c r="D17" s="48" t="s">
        <v>147</v>
      </c>
      <c r="F17" s="50" t="s">
        <v>148</v>
      </c>
      <c r="G17" s="52">
        <f>IF(G8&gt;1.25,MIN(G8-1.25,0.25)*C7*G7*1.5,0)</f>
        <v>0</v>
      </c>
      <c r="H17" s="63">
        <f>G7*1.5</f>
        <v>0.1894736842</v>
      </c>
    </row>
    <row r="18" ht="15.0" customHeight="1">
      <c r="B18" s="50" t="s">
        <v>149</v>
      </c>
      <c r="C18" s="64">
        <v>0.0</v>
      </c>
      <c r="D18" s="48" t="s">
        <v>150</v>
      </c>
      <c r="F18" s="50" t="s">
        <v>151</v>
      </c>
      <c r="G18" s="52">
        <f>IF(G8&gt;1.5,MIN(G8-1.5,0.5)*C7*G7*2,0)</f>
        <v>0</v>
      </c>
      <c r="H18" s="63">
        <f>G7*2</f>
        <v>0.2526315789</v>
      </c>
    </row>
    <row r="19" ht="15.0" customHeight="1">
      <c r="B19" s="50" t="s">
        <v>152</v>
      </c>
      <c r="C19" s="64">
        <v>0.0</v>
      </c>
      <c r="D19" s="48" t="s">
        <v>153</v>
      </c>
      <c r="F19" s="50" t="s">
        <v>154</v>
      </c>
      <c r="G19" s="52">
        <f>IF(G8&gt;2,(G8-2)*C7*G7*2.25,0)</f>
        <v>0</v>
      </c>
      <c r="H19" s="63">
        <f>G7*2.25</f>
        <v>0.2842105263</v>
      </c>
    </row>
    <row r="20" ht="15.0" customHeight="1">
      <c r="B20" s="50" t="s">
        <v>155</v>
      </c>
      <c r="C20" s="64">
        <v>0.0</v>
      </c>
      <c r="D20" s="48" t="s">
        <v>156</v>
      </c>
      <c r="F20" s="65" t="s">
        <v>157</v>
      </c>
      <c r="G20" s="66">
        <f>SUM(G15:G19)</f>
        <v>120000</v>
      </c>
    </row>
    <row r="21" ht="15.0" customHeight="1">
      <c r="B21" s="56"/>
      <c r="C21" s="57"/>
      <c r="D21" s="58"/>
      <c r="E21" s="58"/>
      <c r="G21" s="58"/>
    </row>
    <row r="22" ht="15.0" customHeight="1">
      <c r="F22" s="49" t="s">
        <v>158</v>
      </c>
      <c r="G22" s="49"/>
      <c r="H22" s="49"/>
    </row>
    <row r="23" ht="15.0" customHeight="1">
      <c r="F23" s="50" t="s">
        <v>159</v>
      </c>
      <c r="G23" s="52">
        <f>C16*G7*1.2</f>
        <v>0</v>
      </c>
    </row>
    <row r="24" ht="15.0" customHeight="1">
      <c r="F24" s="50" t="s">
        <v>160</v>
      </c>
      <c r="G24" s="52">
        <f>C17*G7*1.35</f>
        <v>0</v>
      </c>
    </row>
    <row r="25" ht="15.0" customHeight="1">
      <c r="F25" s="50" t="s">
        <v>161</v>
      </c>
      <c r="G25" s="52">
        <f>C18*G7*1.5</f>
        <v>0</v>
      </c>
    </row>
    <row r="26" ht="15.0" customHeight="1">
      <c r="F26" s="50" t="s">
        <v>162</v>
      </c>
      <c r="G26" s="52">
        <f>C19*G7*2</f>
        <v>0</v>
      </c>
    </row>
    <row r="27" ht="15.0" customHeight="1">
      <c r="F27" s="50" t="s">
        <v>163</v>
      </c>
      <c r="G27" s="52">
        <f>C20*0.005</f>
        <v>0</v>
      </c>
    </row>
    <row r="28" ht="15.0" customHeight="1">
      <c r="F28" s="65" t="s">
        <v>164</v>
      </c>
      <c r="G28" s="66">
        <f>SUM(G23:G27)</f>
        <v>0</v>
      </c>
    </row>
    <row r="29" ht="15.75" customHeight="1"/>
    <row r="30" ht="15.0" customHeight="1">
      <c r="F30" s="49" t="s">
        <v>165</v>
      </c>
      <c r="G30" s="49"/>
      <c r="H30" s="49"/>
    </row>
    <row r="31" ht="15.0" customHeight="1">
      <c r="F31" s="50" t="s">
        <v>166</v>
      </c>
      <c r="G31" s="52">
        <v>0.0</v>
      </c>
    </row>
    <row r="32" ht="15.0" customHeight="1">
      <c r="F32" s="50" t="s">
        <v>167</v>
      </c>
      <c r="G32" s="52">
        <v>0.0</v>
      </c>
      <c r="H32" s="67"/>
    </row>
    <row r="33" ht="25.5" customHeight="1">
      <c r="F33" s="50"/>
      <c r="G33" s="68"/>
      <c r="H33" s="48" t="s">
        <v>168</v>
      </c>
    </row>
    <row r="34" ht="15.0" customHeight="1">
      <c r="F34" s="50" t="s">
        <v>169</v>
      </c>
      <c r="G34" s="52">
        <v>0.0</v>
      </c>
    </row>
    <row r="35" ht="15.75" customHeight="1">
      <c r="G35" s="58"/>
    </row>
    <row r="36" ht="15.0" customHeight="1">
      <c r="F36" s="69"/>
      <c r="G36" s="69"/>
      <c r="H36" s="69"/>
    </row>
    <row r="37" ht="15.0" customHeight="1">
      <c r="F37" s="56"/>
      <c r="G37" s="70"/>
      <c r="H37" s="56"/>
    </row>
    <row r="38" ht="15.0" customHeight="1">
      <c r="F38" s="56"/>
      <c r="G38" s="71"/>
      <c r="H38" s="58"/>
    </row>
    <row r="39" ht="15.0" customHeight="1">
      <c r="F39" s="58"/>
      <c r="G39" s="58"/>
      <c r="H39" s="58"/>
    </row>
    <row r="40" ht="15.0" customHeight="1">
      <c r="F40" s="72" t="s">
        <v>170</v>
      </c>
      <c r="G40" s="73"/>
      <c r="H40" s="74"/>
    </row>
    <row r="41" ht="15.75" customHeight="1">
      <c r="F41" s="75" t="s">
        <v>171</v>
      </c>
      <c r="G41" s="76">
        <f>G20</f>
        <v>120000</v>
      </c>
      <c r="H41" s="77"/>
    </row>
    <row r="42" ht="15.75" customHeight="1">
      <c r="F42" s="75" t="s">
        <v>172</v>
      </c>
      <c r="G42" s="76">
        <f>G28</f>
        <v>0</v>
      </c>
      <c r="H42" s="77"/>
    </row>
    <row r="43" ht="15.75" customHeight="1">
      <c r="F43" s="75" t="s">
        <v>173</v>
      </c>
      <c r="G43" s="76">
        <v>0.0</v>
      </c>
      <c r="H43" s="77"/>
    </row>
    <row r="44" ht="15.75" customHeight="1">
      <c r="F44" s="78" t="s">
        <v>174</v>
      </c>
      <c r="G44" s="76">
        <f>SUM(G41:G43)</f>
        <v>120000</v>
      </c>
      <c r="H44" s="77"/>
    </row>
    <row r="45" ht="15.0" customHeight="1">
      <c r="F45" s="79"/>
      <c r="G45" s="71"/>
      <c r="H45" s="77"/>
    </row>
    <row r="46" ht="15.0" customHeight="1">
      <c r="F46" s="80" t="s">
        <v>175</v>
      </c>
      <c r="G46" s="58"/>
      <c r="H46" s="77"/>
    </row>
    <row r="47" ht="15.0" customHeight="1">
      <c r="F47" s="81" t="s">
        <v>176</v>
      </c>
      <c r="G47" s="82">
        <f>G7/2</f>
        <v>0.06315789474</v>
      </c>
      <c r="H47" s="83"/>
    </row>
    <row r="48" ht="15.0" customHeight="1">
      <c r="F48" s="84" t="s">
        <v>177</v>
      </c>
      <c r="G48" s="85">
        <f>C12*G47</f>
        <v>0</v>
      </c>
      <c r="H48" s="8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7" width="18.0"/>
    <col customWidth="1" min="8" max="8" width="39.71"/>
    <col customWidth="1" min="9" max="26" width="8.86"/>
  </cols>
  <sheetData>
    <row r="2" ht="37.5" customHeight="1">
      <c r="B2" s="47" t="s">
        <v>178</v>
      </c>
    </row>
    <row r="3" ht="25.5" customHeight="1">
      <c r="B3" s="48" t="s">
        <v>179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112500.0</v>
      </c>
      <c r="D6" s="48"/>
      <c r="F6" s="50" t="s">
        <v>180</v>
      </c>
      <c r="G6" s="52">
        <f>C6*IF(C7="OTT",0.6,0.8)</f>
        <v>67500</v>
      </c>
      <c r="H6" s="48" t="s">
        <v>181</v>
      </c>
    </row>
    <row r="7" ht="15.0" customHeight="1">
      <c r="B7" s="50" t="s">
        <v>4</v>
      </c>
      <c r="C7" s="87" t="s">
        <v>25</v>
      </c>
      <c r="D7" s="48" t="s">
        <v>182</v>
      </c>
      <c r="F7" s="50" t="s">
        <v>183</v>
      </c>
      <c r="G7" s="52">
        <f>C6*IF(C7="OTT",0.4,0.2)</f>
        <v>45000</v>
      </c>
      <c r="H7" s="48" t="s">
        <v>184</v>
      </c>
    </row>
    <row r="8" ht="15.0" customHeight="1">
      <c r="B8" s="50" t="s">
        <v>185</v>
      </c>
      <c r="C8" s="51">
        <v>1000000.0</v>
      </c>
      <c r="D8" s="48" t="s">
        <v>186</v>
      </c>
      <c r="F8" s="50" t="s">
        <v>130</v>
      </c>
      <c r="G8" s="54">
        <f>IF(C8&gt;0,G6/C8,0)</f>
        <v>0.0675</v>
      </c>
      <c r="H8" s="48"/>
    </row>
    <row r="9" ht="15.0" customHeight="1">
      <c r="B9" s="50" t="s">
        <v>187</v>
      </c>
      <c r="C9" s="51">
        <v>1000000.0</v>
      </c>
      <c r="D9" s="48"/>
      <c r="F9" s="50" t="s">
        <v>132</v>
      </c>
      <c r="G9" s="55">
        <f>IF(C8&gt;0,C9/C8,0)</f>
        <v>1</v>
      </c>
    </row>
    <row r="10" ht="15.0" customHeight="1">
      <c r="B10" s="50" t="s">
        <v>188</v>
      </c>
      <c r="C10" s="88">
        <v>0.8</v>
      </c>
      <c r="D10" s="89" t="s">
        <v>189</v>
      </c>
      <c r="F10" s="50" t="s">
        <v>190</v>
      </c>
      <c r="G10" s="59">
        <f>IF(C10&gt;0,2*C10-1,0)</f>
        <v>0.6</v>
      </c>
      <c r="H10" s="90" t="s">
        <v>191</v>
      </c>
    </row>
    <row r="11" ht="15.0" customHeight="1">
      <c r="B11" s="50" t="s">
        <v>192</v>
      </c>
      <c r="C11" s="88">
        <v>0.8</v>
      </c>
      <c r="D11" s="48"/>
      <c r="F11" s="50" t="s">
        <v>193</v>
      </c>
      <c r="G11" s="59">
        <f>IF(C11&lt;G10,0,IF(C11&gt;=1,1.5,0.5+(C11-G10)/(1-G10)))</f>
        <v>1</v>
      </c>
      <c r="H11" s="90" t="s">
        <v>194</v>
      </c>
    </row>
    <row r="12" ht="15.0" customHeight="1">
      <c r="B12" s="50" t="s">
        <v>133</v>
      </c>
      <c r="C12" s="60" t="s">
        <v>134</v>
      </c>
      <c r="D12" s="48" t="s">
        <v>135</v>
      </c>
      <c r="G12" s="58"/>
    </row>
    <row r="13" ht="15.0" customHeight="1">
      <c r="B13" s="50" t="s">
        <v>136</v>
      </c>
      <c r="C13" s="51">
        <v>0.0</v>
      </c>
      <c r="D13" s="48" t="s">
        <v>135</v>
      </c>
      <c r="F13" s="49" t="s">
        <v>195</v>
      </c>
      <c r="G13" s="49"/>
      <c r="H13" s="49"/>
    </row>
    <row r="14" ht="15.0" customHeight="1">
      <c r="C14" s="91"/>
      <c r="F14" s="61" t="s">
        <v>138</v>
      </c>
      <c r="G14" s="62" t="s">
        <v>139</v>
      </c>
      <c r="H14" s="62" t="s">
        <v>140</v>
      </c>
    </row>
    <row r="15" ht="15.0" customHeight="1">
      <c r="B15" s="49" t="s">
        <v>141</v>
      </c>
      <c r="C15" s="92"/>
      <c r="D15" s="49"/>
      <c r="F15" s="50" t="s">
        <v>142</v>
      </c>
      <c r="G15" s="52">
        <f>IF(G9&gt;=1,C8*G8*1,C8*G9*G8*1)</f>
        <v>67500</v>
      </c>
      <c r="H15" s="93">
        <f>G8*1</f>
        <v>0.0675</v>
      </c>
    </row>
    <row r="16" ht="15.0" customHeight="1">
      <c r="B16" s="50" t="s">
        <v>143</v>
      </c>
      <c r="C16" s="51">
        <v>0.0</v>
      </c>
      <c r="D16" s="48" t="s">
        <v>144</v>
      </c>
      <c r="F16" s="50" t="s">
        <v>145</v>
      </c>
      <c r="G16" s="52">
        <f>IF(G9&gt;1,MIN(G9-1,0.25)*C8*G8*1.25,0)</f>
        <v>0</v>
      </c>
      <c r="H16" s="93">
        <f>G8*1.25</f>
        <v>0.084375</v>
      </c>
    </row>
    <row r="17" ht="15.0" customHeight="1">
      <c r="B17" s="50" t="s">
        <v>146</v>
      </c>
      <c r="C17" s="51">
        <v>0.0</v>
      </c>
      <c r="D17" s="48" t="s">
        <v>147</v>
      </c>
      <c r="F17" s="50" t="s">
        <v>148</v>
      </c>
      <c r="G17" s="52">
        <f>IF(G9&gt;1.25,MIN(G9-1.25,0.25)*C8*G8*1.5,0)</f>
        <v>0</v>
      </c>
      <c r="H17" s="93">
        <f>G8*1.5</f>
        <v>0.10125</v>
      </c>
    </row>
    <row r="18" ht="15.0" customHeight="1">
      <c r="B18" s="50" t="s">
        <v>149</v>
      </c>
      <c r="C18" s="51">
        <v>0.0</v>
      </c>
      <c r="D18" s="48" t="s">
        <v>150</v>
      </c>
      <c r="F18" s="50" t="s">
        <v>151</v>
      </c>
      <c r="G18" s="52">
        <f>IF(G9&gt;1.5,MIN(G9-1.5,0.5)*C8*G8*2,0)</f>
        <v>0</v>
      </c>
      <c r="H18" s="93">
        <f>G8*2</f>
        <v>0.135</v>
      </c>
    </row>
    <row r="19" ht="15.0" customHeight="1">
      <c r="B19" s="50" t="s">
        <v>152</v>
      </c>
      <c r="C19" s="51">
        <v>0.0</v>
      </c>
      <c r="D19" s="48" t="s">
        <v>153</v>
      </c>
      <c r="F19" s="50" t="s">
        <v>154</v>
      </c>
      <c r="G19" s="52">
        <f>IF(G9&gt;2,(G9-2)*C8*G8*2.25,0)</f>
        <v>0</v>
      </c>
      <c r="H19" s="93">
        <f>G8*2.25</f>
        <v>0.151875</v>
      </c>
    </row>
    <row r="20" ht="15.0" customHeight="1">
      <c r="B20" s="50" t="s">
        <v>155</v>
      </c>
      <c r="C20" s="51">
        <v>0.0</v>
      </c>
      <c r="D20" s="48" t="s">
        <v>156</v>
      </c>
      <c r="F20" s="65" t="s">
        <v>157</v>
      </c>
      <c r="G20" s="66">
        <f>SUM(G15:G19)</f>
        <v>67500</v>
      </c>
    </row>
    <row r="21" ht="15.0" customHeight="1">
      <c r="B21" s="56"/>
      <c r="C21" s="94"/>
      <c r="D21" s="58"/>
      <c r="E21" s="58"/>
      <c r="G21" s="58"/>
    </row>
    <row r="22" ht="15.0" customHeight="1">
      <c r="F22" s="49" t="s">
        <v>158</v>
      </c>
      <c r="G22" s="49"/>
      <c r="H22" s="49"/>
    </row>
    <row r="23" ht="15.0" customHeight="1">
      <c r="F23" s="50" t="s">
        <v>159</v>
      </c>
      <c r="G23" s="52">
        <f>C16*G8*1.2</f>
        <v>0</v>
      </c>
    </row>
    <row r="24" ht="15.0" customHeight="1">
      <c r="F24" s="50" t="s">
        <v>160</v>
      </c>
      <c r="G24" s="52">
        <f>C17*G8*1.35</f>
        <v>0</v>
      </c>
    </row>
    <row r="25" ht="15.0" customHeight="1">
      <c r="F25" s="50" t="s">
        <v>161</v>
      </c>
      <c r="G25" s="52">
        <f>C18*G8*1.5</f>
        <v>0</v>
      </c>
    </row>
    <row r="26" ht="15.0" customHeight="1">
      <c r="F26" s="50" t="s">
        <v>162</v>
      </c>
      <c r="G26" s="52">
        <f>C19*G8*2</f>
        <v>0</v>
      </c>
    </row>
    <row r="27" ht="15.0" customHeight="1">
      <c r="F27" s="50" t="s">
        <v>163</v>
      </c>
      <c r="G27" s="52">
        <f>C20*0.005</f>
        <v>0</v>
      </c>
    </row>
    <row r="28" ht="15.0" customHeight="1">
      <c r="F28" s="65" t="s">
        <v>164</v>
      </c>
      <c r="G28" s="66">
        <f>SUM(G23:G27)</f>
        <v>0</v>
      </c>
    </row>
    <row r="29" ht="15.75" customHeight="1">
      <c r="G29" s="58"/>
    </row>
    <row r="30" ht="15.0" customHeight="1">
      <c r="F30" s="49" t="s">
        <v>165</v>
      </c>
      <c r="G30" s="49"/>
      <c r="H30" s="49"/>
    </row>
    <row r="31" ht="15.0" customHeight="1">
      <c r="F31" s="50" t="s">
        <v>166</v>
      </c>
      <c r="G31" s="52">
        <f>G11*G7</f>
        <v>45000</v>
      </c>
    </row>
    <row r="32" ht="15.0" customHeight="1">
      <c r="F32" s="50" t="s">
        <v>196</v>
      </c>
      <c r="G32" s="52">
        <f>G7/4*0.5</f>
        <v>5625</v>
      </c>
      <c r="H32" s="67"/>
    </row>
    <row r="33" ht="25.5" customHeight="1">
      <c r="F33" s="50" t="s">
        <v>197</v>
      </c>
      <c r="G33" s="52">
        <f>G31-(G32*3)</f>
        <v>28125</v>
      </c>
      <c r="H33" s="48" t="s">
        <v>168</v>
      </c>
    </row>
    <row r="34" ht="15.0" customHeight="1">
      <c r="F34" s="50" t="s">
        <v>169</v>
      </c>
      <c r="G34" s="52">
        <f>IF(OR(C12="Q1",C12="Q2",C12="Q3"),G32,G33)</f>
        <v>5625</v>
      </c>
    </row>
    <row r="35" ht="15.75" customHeight="1">
      <c r="G35" s="58"/>
    </row>
    <row r="36" ht="15.0" customHeight="1">
      <c r="F36" s="69"/>
      <c r="G36" s="69"/>
      <c r="H36" s="69"/>
    </row>
    <row r="37" ht="15.0" customHeight="1">
      <c r="F37" s="56"/>
      <c r="G37" s="70"/>
      <c r="H37" s="56"/>
    </row>
    <row r="38" ht="15.0" customHeight="1">
      <c r="F38" s="56"/>
      <c r="G38" s="71"/>
      <c r="H38" s="58"/>
    </row>
    <row r="39" ht="15.0" customHeight="1">
      <c r="F39" s="58"/>
      <c r="G39" s="58"/>
      <c r="H39" s="58"/>
    </row>
    <row r="40" ht="15.0" customHeight="1">
      <c r="F40" s="72" t="s">
        <v>170</v>
      </c>
      <c r="G40" s="73"/>
      <c r="H40" s="74"/>
    </row>
    <row r="41" ht="15.75" customHeight="1">
      <c r="F41" s="75" t="s">
        <v>198</v>
      </c>
      <c r="G41" s="76">
        <f>G20</f>
        <v>67500</v>
      </c>
      <c r="H41" s="77"/>
    </row>
    <row r="42" ht="15.75" customHeight="1">
      <c r="F42" s="75" t="s">
        <v>172</v>
      </c>
      <c r="G42" s="76">
        <f>G28</f>
        <v>0</v>
      </c>
      <c r="H42" s="77"/>
    </row>
    <row r="43" ht="15.75" customHeight="1">
      <c r="F43" s="75" t="s">
        <v>199</v>
      </c>
      <c r="G43" s="76">
        <f>G31</f>
        <v>45000</v>
      </c>
      <c r="H43" s="77"/>
    </row>
    <row r="44" ht="15.75" customHeight="1">
      <c r="F44" s="78" t="s">
        <v>174</v>
      </c>
      <c r="G44" s="76">
        <f>SUM(G41:G43)</f>
        <v>112500</v>
      </c>
      <c r="H44" s="77"/>
    </row>
    <row r="45" ht="15.0" customHeight="1">
      <c r="F45" s="79"/>
      <c r="G45" s="71"/>
      <c r="H45" s="77"/>
    </row>
    <row r="46" ht="15.0" customHeight="1">
      <c r="F46" s="80" t="s">
        <v>200</v>
      </c>
      <c r="G46" s="58"/>
      <c r="H46" s="77"/>
    </row>
    <row r="47" ht="15.0" customHeight="1">
      <c r="F47" s="81" t="s">
        <v>201</v>
      </c>
      <c r="G47" s="95">
        <f>G34</f>
        <v>5625</v>
      </c>
      <c r="H47" s="83"/>
    </row>
    <row r="48" ht="15.0" customHeight="1">
      <c r="F48" s="84" t="s">
        <v>202</v>
      </c>
      <c r="G48" s="85">
        <f>G20/4</f>
        <v>16875</v>
      </c>
      <c r="H48" s="86"/>
    </row>
    <row r="49" ht="15.75" customHeight="1">
      <c r="F49" s="89" t="s">
        <v>203</v>
      </c>
      <c r="G49" s="95">
        <f>SUM(G47:G48)</f>
        <v>22500</v>
      </c>
    </row>
    <row r="50" ht="15.75" customHeight="1">
      <c r="G50" s="58"/>
    </row>
    <row r="51" ht="15.75" customHeight="1">
      <c r="F51" s="89" t="s">
        <v>175</v>
      </c>
      <c r="G51" s="58"/>
    </row>
    <row r="52" ht="15.75" customHeight="1">
      <c r="F52" s="89" t="s">
        <v>176</v>
      </c>
      <c r="G52" s="82">
        <f>G8/2</f>
        <v>0.03375</v>
      </c>
      <c r="H52" s="89" t="s">
        <v>204</v>
      </c>
    </row>
    <row r="53" ht="15.75" customHeight="1">
      <c r="F53" s="89" t="s">
        <v>177</v>
      </c>
      <c r="G53" s="95">
        <f>C13*G52</f>
        <v>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205</v>
      </c>
    </row>
    <row r="3" ht="21.75" customHeight="1">
      <c r="B3" s="48" t="s">
        <v>206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32500.0</v>
      </c>
      <c r="D6" s="48"/>
      <c r="F6" s="50" t="s">
        <v>207</v>
      </c>
      <c r="G6" s="52">
        <f>C6*G13</f>
        <v>13000</v>
      </c>
    </row>
    <row r="7" ht="15.0" customHeight="1">
      <c r="B7" s="50" t="s">
        <v>188</v>
      </c>
      <c r="C7" s="88">
        <v>0.825</v>
      </c>
      <c r="D7" s="48"/>
      <c r="F7" s="50" t="s">
        <v>208</v>
      </c>
      <c r="G7" s="52">
        <f>C6*G12</f>
        <v>19500</v>
      </c>
    </row>
    <row r="8" ht="15.0" customHeight="1">
      <c r="B8" s="50" t="s">
        <v>209</v>
      </c>
      <c r="C8" s="96">
        <v>0.825</v>
      </c>
      <c r="F8" s="50" t="s">
        <v>190</v>
      </c>
      <c r="G8" s="59">
        <f>2*C7-1</f>
        <v>0.65</v>
      </c>
      <c r="H8" s="48" t="s">
        <v>191</v>
      </c>
    </row>
    <row r="9" ht="22.5" customHeight="1">
      <c r="B9" s="50" t="s">
        <v>210</v>
      </c>
      <c r="C9" s="51">
        <v>500000.0</v>
      </c>
      <c r="D9" s="48"/>
      <c r="F9" s="50" t="s">
        <v>193</v>
      </c>
      <c r="G9" s="59">
        <f>IF(C8&lt;G8,0,IF(C8&gt;=1,1.5,0.5+(C8-G8)/(1-G8)))</f>
        <v>1</v>
      </c>
      <c r="H9" s="48" t="s">
        <v>211</v>
      </c>
    </row>
    <row r="10" ht="15.0" customHeight="1">
      <c r="B10" s="50" t="s">
        <v>212</v>
      </c>
      <c r="C10" s="97">
        <v>500000.0</v>
      </c>
      <c r="F10" s="50" t="s">
        <v>213</v>
      </c>
      <c r="G10" s="54">
        <f>IF(C9&gt;0,G7/C9,0)</f>
        <v>0.039</v>
      </c>
    </row>
    <row r="11" ht="15.0" customHeight="1">
      <c r="B11" s="50" t="s">
        <v>133</v>
      </c>
      <c r="C11" s="87" t="s">
        <v>134</v>
      </c>
      <c r="D11" s="48" t="s">
        <v>135</v>
      </c>
      <c r="F11" s="50" t="s">
        <v>214</v>
      </c>
      <c r="G11" s="55">
        <f>IF(C9&gt;0,C10/C9,0)</f>
        <v>1</v>
      </c>
    </row>
    <row r="12" ht="15.0" customHeight="1">
      <c r="B12" s="89" t="s">
        <v>4</v>
      </c>
      <c r="C12" s="98" t="s">
        <v>25</v>
      </c>
      <c r="D12" s="89" t="s">
        <v>182</v>
      </c>
      <c r="F12" s="89" t="s">
        <v>215</v>
      </c>
      <c r="G12" s="99">
        <f>IF(C12="OTT",0.6,0.8)</f>
        <v>0.6</v>
      </c>
    </row>
    <row r="13" ht="15.0" customHeight="1">
      <c r="B13" s="50" t="s">
        <v>136</v>
      </c>
      <c r="C13" s="51">
        <v>0.0</v>
      </c>
      <c r="F13" s="89" t="s">
        <v>216</v>
      </c>
      <c r="G13" s="99">
        <f>IF(C12="OTT",0.4,0.2)</f>
        <v>0.4</v>
      </c>
    </row>
    <row r="14" ht="15.0" customHeight="1">
      <c r="F14" s="49" t="s">
        <v>217</v>
      </c>
      <c r="G14" s="49"/>
      <c r="H14" s="49"/>
    </row>
    <row r="15" ht="15.0" customHeight="1">
      <c r="F15" s="50" t="s">
        <v>166</v>
      </c>
      <c r="G15" s="52">
        <f>G9*G6</f>
        <v>13000</v>
      </c>
    </row>
    <row r="16" ht="15.0" customHeight="1">
      <c r="G16" s="58"/>
    </row>
    <row r="17" ht="15.0" customHeight="1">
      <c r="F17" s="49" t="s">
        <v>218</v>
      </c>
      <c r="G17" s="49"/>
      <c r="H17" s="49"/>
    </row>
    <row r="18" ht="25.5" customHeight="1">
      <c r="F18" s="50" t="s">
        <v>196</v>
      </c>
      <c r="G18" s="52">
        <f>G6/4*0.5</f>
        <v>1625</v>
      </c>
      <c r="H18" s="48"/>
    </row>
    <row r="19" ht="15.0" customHeight="1">
      <c r="F19" s="50" t="s">
        <v>197</v>
      </c>
      <c r="G19" s="52">
        <f>G15-(G18*3)</f>
        <v>8125</v>
      </c>
      <c r="H19" s="48" t="s">
        <v>168</v>
      </c>
    </row>
    <row r="20" ht="15.0" customHeight="1">
      <c r="F20" s="50" t="s">
        <v>169</v>
      </c>
      <c r="G20" s="52">
        <f>IF(OR(C11="Q1",C11="Q2",C11="Q3"),G18,G19)</f>
        <v>1625</v>
      </c>
    </row>
    <row r="21" ht="15.0" customHeight="1">
      <c r="G21" s="58"/>
    </row>
    <row r="22" ht="15.0" customHeight="1">
      <c r="F22" s="49" t="s">
        <v>219</v>
      </c>
      <c r="G22" s="49"/>
      <c r="H22" s="49"/>
    </row>
    <row r="23" ht="15.0" customHeight="1">
      <c r="F23" s="61" t="s">
        <v>138</v>
      </c>
      <c r="G23" s="62" t="s">
        <v>139</v>
      </c>
      <c r="H23" s="62" t="s">
        <v>140</v>
      </c>
    </row>
    <row r="24" ht="15.0" customHeight="1">
      <c r="F24" s="50" t="s">
        <v>142</v>
      </c>
      <c r="G24" s="52">
        <f>IF(G11&gt;=1,C9*G10*1,C9*G11*G10*1)</f>
        <v>19500</v>
      </c>
      <c r="H24" s="93">
        <f>G10*1</f>
        <v>0.039</v>
      </c>
    </row>
    <row r="25" ht="15.0" customHeight="1">
      <c r="F25" s="50" t="s">
        <v>145</v>
      </c>
      <c r="G25" s="52">
        <f>IF(G11&gt;1,MIN(G11-1,0.25)*C9*G10*1.25,0)</f>
        <v>0</v>
      </c>
      <c r="H25" s="93">
        <f>G10*1.25</f>
        <v>0.04875</v>
      </c>
    </row>
    <row r="26" ht="15.0" customHeight="1">
      <c r="F26" s="50" t="s">
        <v>148</v>
      </c>
      <c r="G26" s="52">
        <f>IF(G11&gt;1.25,MIN(G11-1.25,0.25)*C9*G10*1.5,0)</f>
        <v>0</v>
      </c>
      <c r="H26" s="93">
        <f>G10*1.5</f>
        <v>0.0585</v>
      </c>
    </row>
    <row r="27" ht="15.0" customHeight="1">
      <c r="F27" s="50" t="s">
        <v>151</v>
      </c>
      <c r="G27" s="52">
        <f>IF(G11&gt;1.5,MIN(G11-1.5,0.5)*C9*G10*2,0)</f>
        <v>0</v>
      </c>
      <c r="H27" s="93">
        <f>G10*2</f>
        <v>0.078</v>
      </c>
    </row>
    <row r="28" ht="15.0" customHeight="1">
      <c r="F28" s="50" t="s">
        <v>154</v>
      </c>
      <c r="G28" s="52">
        <f>IF(G11&gt;2,(G11-2)*C9*G10*2.25,0)</f>
        <v>0</v>
      </c>
      <c r="H28" s="93">
        <f>G10*2.25</f>
        <v>0.08775</v>
      </c>
    </row>
    <row r="29" ht="15.0" customHeight="1">
      <c r="F29" s="65" t="s">
        <v>157</v>
      </c>
      <c r="G29" s="66">
        <f>SUM(G24:G28)</f>
        <v>19500</v>
      </c>
    </row>
    <row r="30" ht="15.0" customHeight="1">
      <c r="G30" s="58"/>
    </row>
    <row r="31" ht="15.75" customHeight="1">
      <c r="F31" s="72" t="s">
        <v>170</v>
      </c>
      <c r="G31" s="73"/>
      <c r="H31" s="74"/>
    </row>
    <row r="32" ht="15.75" customHeight="1">
      <c r="F32" s="75" t="s">
        <v>166</v>
      </c>
      <c r="G32" s="76">
        <f>G15</f>
        <v>13000</v>
      </c>
      <c r="H32" s="100"/>
    </row>
    <row r="33" ht="15.0" customHeight="1">
      <c r="F33" s="75" t="s">
        <v>220</v>
      </c>
      <c r="G33" s="76">
        <f>G29</f>
        <v>19500</v>
      </c>
      <c r="H33" s="77"/>
    </row>
    <row r="34" ht="15.0" customHeight="1">
      <c r="F34" s="101" t="s">
        <v>174</v>
      </c>
      <c r="G34" s="102">
        <f>SUM(G32:G33)</f>
        <v>32500</v>
      </c>
      <c r="H34" s="77"/>
    </row>
    <row r="35" ht="15.75" customHeight="1">
      <c r="F35" s="103"/>
      <c r="G35" s="69"/>
      <c r="H35" s="104"/>
    </row>
    <row r="36" ht="15.75" customHeight="1">
      <c r="F36" s="105" t="s">
        <v>200</v>
      </c>
      <c r="G36" s="71"/>
      <c r="H36" s="77"/>
    </row>
    <row r="37" ht="15.75" customHeight="1">
      <c r="F37" s="79" t="s">
        <v>201</v>
      </c>
      <c r="G37" s="106">
        <f>G20</f>
        <v>1625</v>
      </c>
      <c r="H37" s="77"/>
    </row>
    <row r="38" ht="15.75" customHeight="1">
      <c r="F38" s="79" t="s">
        <v>221</v>
      </c>
      <c r="G38" s="106">
        <f>G29/4</f>
        <v>4875</v>
      </c>
      <c r="H38" s="77"/>
    </row>
    <row r="39" ht="15.0" customHeight="1">
      <c r="F39" s="78" t="s">
        <v>203</v>
      </c>
      <c r="G39" s="76">
        <f>SUM(G37:G38)</f>
        <v>6500</v>
      </c>
      <c r="H39" s="77"/>
    </row>
    <row r="40" ht="15.0" customHeight="1">
      <c r="F40" s="81"/>
      <c r="G40" s="58"/>
      <c r="H40" s="77"/>
    </row>
    <row r="41" ht="15.75" customHeight="1">
      <c r="F41" s="107" t="s">
        <v>175</v>
      </c>
      <c r="G41" s="69"/>
      <c r="H41" s="104"/>
    </row>
    <row r="42" ht="15.75" customHeight="1">
      <c r="F42" s="79" t="s">
        <v>176</v>
      </c>
      <c r="G42" s="70">
        <f>G10/2</f>
        <v>0.0195</v>
      </c>
      <c r="H42" s="83" t="s">
        <v>222</v>
      </c>
    </row>
    <row r="43" ht="15.0" customHeight="1">
      <c r="F43" s="108" t="s">
        <v>177</v>
      </c>
      <c r="G43" s="109">
        <f>C13*G42</f>
        <v>0</v>
      </c>
      <c r="H43" s="86"/>
    </row>
    <row r="44" ht="15.0" customHeight="1">
      <c r="F44" s="56"/>
      <c r="G44" s="110"/>
      <c r="H44" s="58"/>
    </row>
    <row r="45" ht="15.0" customHeight="1">
      <c r="F45" s="56"/>
      <c r="G45" s="71"/>
      <c r="H45" s="5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223</v>
      </c>
    </row>
    <row r="3" ht="21.75" customHeight="1">
      <c r="B3" s="48" t="s">
        <v>224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32500.0</v>
      </c>
      <c r="D6" s="48"/>
      <c r="F6" s="50" t="s">
        <v>225</v>
      </c>
      <c r="G6" s="52">
        <f>C6*0.8</f>
        <v>26000</v>
      </c>
    </row>
    <row r="7" ht="15.0" customHeight="1">
      <c r="B7" s="50" t="s">
        <v>188</v>
      </c>
      <c r="C7" s="88">
        <v>0.825</v>
      </c>
      <c r="D7" s="48"/>
      <c r="F7" s="50" t="s">
        <v>226</v>
      </c>
      <c r="G7" s="52">
        <f>C6*0.2</f>
        <v>6500</v>
      </c>
    </row>
    <row r="8" ht="15.0" customHeight="1">
      <c r="B8" s="50" t="s">
        <v>209</v>
      </c>
      <c r="C8" s="88">
        <v>0.88</v>
      </c>
      <c r="F8" s="50" t="s">
        <v>190</v>
      </c>
      <c r="G8" s="59">
        <f>2*C7-1</f>
        <v>0.65</v>
      </c>
      <c r="H8" s="48" t="s">
        <v>191</v>
      </c>
    </row>
    <row r="9" ht="22.5" customHeight="1">
      <c r="B9" s="50" t="s">
        <v>210</v>
      </c>
      <c r="C9" s="51">
        <v>7350000.0</v>
      </c>
      <c r="D9" s="48"/>
      <c r="F9" s="50" t="s">
        <v>193</v>
      </c>
      <c r="G9" s="59">
        <f>IF(C8&lt;G8,0,IF(C8&gt;=1,1.5,0.5+(C8-G8)/(1-G8)))</f>
        <v>1.157142857</v>
      </c>
      <c r="H9" s="48" t="s">
        <v>211</v>
      </c>
    </row>
    <row r="10" ht="15.0" customHeight="1">
      <c r="B10" s="50" t="s">
        <v>212</v>
      </c>
      <c r="C10" s="51">
        <v>7350000.0</v>
      </c>
      <c r="F10" s="50" t="s">
        <v>213</v>
      </c>
      <c r="G10" s="54">
        <f>IF(C9&gt;0,G7/C9,0)</f>
        <v>0.0008843537415</v>
      </c>
    </row>
    <row r="11" ht="15.0" customHeight="1">
      <c r="B11" s="50" t="s">
        <v>133</v>
      </c>
      <c r="C11" s="87" t="s">
        <v>134</v>
      </c>
      <c r="D11" s="48" t="s">
        <v>135</v>
      </c>
      <c r="F11" s="50" t="s">
        <v>214</v>
      </c>
      <c r="G11" s="55">
        <f>IF(C9&gt;0,C10/C9,0)</f>
        <v>1</v>
      </c>
    </row>
    <row r="12" ht="15.0" customHeight="1">
      <c r="B12" s="50" t="s">
        <v>136</v>
      </c>
      <c r="C12" s="51">
        <v>0.0</v>
      </c>
      <c r="G12" s="58"/>
    </row>
    <row r="13" ht="15.0" customHeight="1">
      <c r="F13" s="49" t="s">
        <v>217</v>
      </c>
      <c r="G13" s="49"/>
      <c r="H13" s="49"/>
    </row>
    <row r="14" ht="15.0" customHeight="1">
      <c r="F14" s="50" t="s">
        <v>166</v>
      </c>
      <c r="G14" s="52">
        <f>G9*G6</f>
        <v>30085.71429</v>
      </c>
    </row>
    <row r="15">
      <c r="G15" s="58"/>
    </row>
    <row r="16" ht="15.0" customHeight="1">
      <c r="F16" s="49" t="s">
        <v>218</v>
      </c>
      <c r="G16" s="49"/>
      <c r="H16" s="49"/>
    </row>
    <row r="17" ht="25.5" customHeight="1">
      <c r="F17" s="50" t="s">
        <v>227</v>
      </c>
      <c r="G17" s="52">
        <f>G6/4*0.75</f>
        <v>4875</v>
      </c>
      <c r="H17" s="48" t="s">
        <v>228</v>
      </c>
    </row>
    <row r="18" ht="25.5" customHeight="1">
      <c r="F18" s="50" t="s">
        <v>197</v>
      </c>
      <c r="G18" s="52">
        <f>G14-(G17*3)</f>
        <v>15460.71429</v>
      </c>
      <c r="H18" s="48" t="s">
        <v>168</v>
      </c>
    </row>
    <row r="19" ht="15.0" customHeight="1">
      <c r="F19" s="50" t="s">
        <v>169</v>
      </c>
      <c r="G19" s="52">
        <f>IF(OR(C11="Q1",C11="Q2",C11="Q3"),G17,G18)</f>
        <v>4875</v>
      </c>
    </row>
    <row r="20">
      <c r="G20" s="58"/>
    </row>
    <row r="21" ht="15.0" customHeight="1">
      <c r="F21" s="49" t="s">
        <v>219</v>
      </c>
      <c r="G21" s="49"/>
      <c r="H21" s="49"/>
    </row>
    <row r="22" ht="15.0" customHeight="1">
      <c r="F22" s="61" t="s">
        <v>138</v>
      </c>
      <c r="G22" s="62" t="s">
        <v>139</v>
      </c>
      <c r="H22" s="62" t="s">
        <v>140</v>
      </c>
    </row>
    <row r="23" ht="15.0" customHeight="1">
      <c r="F23" s="50" t="s">
        <v>142</v>
      </c>
      <c r="G23" s="52">
        <f>IF(G11&gt;=1,C9*G10*1,C9*G11*G10*1)</f>
        <v>6500</v>
      </c>
      <c r="H23" s="93">
        <f>G10*1</f>
        <v>0.0008843537415</v>
      </c>
    </row>
    <row r="24" ht="15.0" customHeight="1">
      <c r="F24" s="50" t="s">
        <v>145</v>
      </c>
      <c r="G24" s="52">
        <f>IF(G11&gt;1,MIN(G11-1,0.25)*C9*G10*1.25,0)</f>
        <v>0</v>
      </c>
      <c r="H24" s="93">
        <f>G10*1.25</f>
        <v>0.001105442177</v>
      </c>
    </row>
    <row r="25" ht="15.0" customHeight="1">
      <c r="F25" s="50" t="s">
        <v>148</v>
      </c>
      <c r="G25" s="52">
        <f>IF(G11&gt;1.25,MIN(G11-1.25,0.25)*C9*G10*1.5,0)</f>
        <v>0</v>
      </c>
      <c r="H25" s="93">
        <f>G10*1.5</f>
        <v>0.001326530612</v>
      </c>
    </row>
    <row r="26" ht="15.0" customHeight="1">
      <c r="F26" s="50" t="s">
        <v>151</v>
      </c>
      <c r="G26" s="52">
        <f>IF(G11&gt;1.5,MIN(G11-1.5,0.5)*C9*G10*2,0)</f>
        <v>0</v>
      </c>
      <c r="H26" s="93">
        <f>G10*2</f>
        <v>0.001768707483</v>
      </c>
    </row>
    <row r="27" ht="15.0" customHeight="1">
      <c r="F27" s="50" t="s">
        <v>154</v>
      </c>
      <c r="G27" s="52">
        <f>IF(G11&gt;2,(G11-2)*C9*G10*2.25,0)</f>
        <v>0</v>
      </c>
      <c r="H27" s="93">
        <f>G10*2.25</f>
        <v>0.001989795918</v>
      </c>
    </row>
    <row r="28" ht="15.0" customHeight="1">
      <c r="F28" s="65" t="s">
        <v>157</v>
      </c>
      <c r="G28" s="66">
        <f>SUM(G23:G27)</f>
        <v>6500</v>
      </c>
    </row>
    <row r="29" ht="15.75" customHeight="1">
      <c r="G29" s="58"/>
    </row>
    <row r="30" ht="15.0" customHeight="1">
      <c r="F30" s="72" t="s">
        <v>170</v>
      </c>
      <c r="G30" s="73"/>
      <c r="H30" s="74"/>
    </row>
    <row r="31" ht="15.75" customHeight="1">
      <c r="F31" s="75" t="s">
        <v>166</v>
      </c>
      <c r="G31" s="76">
        <f>G14</f>
        <v>30085.71429</v>
      </c>
      <c r="H31" s="100"/>
    </row>
    <row r="32" ht="15.75" customHeight="1">
      <c r="F32" s="75" t="s">
        <v>220</v>
      </c>
      <c r="G32" s="76">
        <f>G28</f>
        <v>6500</v>
      </c>
      <c r="H32" s="77"/>
    </row>
    <row r="33" ht="15.0" customHeight="1">
      <c r="F33" s="101" t="s">
        <v>174</v>
      </c>
      <c r="G33" s="102">
        <f>SUM(G31:G32)</f>
        <v>36585.71429</v>
      </c>
      <c r="H33" s="77"/>
    </row>
    <row r="34" ht="15.0" customHeight="1">
      <c r="F34" s="103"/>
      <c r="G34" s="69"/>
      <c r="H34" s="104"/>
    </row>
    <row r="35" ht="15.75" customHeight="1">
      <c r="F35" s="105" t="s">
        <v>200</v>
      </c>
      <c r="G35" s="71"/>
      <c r="H35" s="77"/>
    </row>
    <row r="36" ht="15.75" customHeight="1">
      <c r="F36" s="79" t="s">
        <v>201</v>
      </c>
      <c r="G36" s="106">
        <f>G19</f>
        <v>4875</v>
      </c>
      <c r="H36" s="77"/>
    </row>
    <row r="37" ht="15.75" customHeight="1">
      <c r="F37" s="79" t="s">
        <v>221</v>
      </c>
      <c r="G37" s="106">
        <f>G28/4</f>
        <v>1625</v>
      </c>
      <c r="H37" s="77"/>
    </row>
    <row r="38" ht="15.75" customHeight="1">
      <c r="F38" s="78" t="s">
        <v>203</v>
      </c>
      <c r="G38" s="76">
        <f>SUM(G36:G37)</f>
        <v>6500</v>
      </c>
      <c r="H38" s="77"/>
    </row>
    <row r="39" ht="15.0" customHeight="1">
      <c r="F39" s="81"/>
      <c r="G39" s="58"/>
      <c r="H39" s="77"/>
    </row>
    <row r="40" ht="15.0" customHeight="1">
      <c r="F40" s="107" t="s">
        <v>175</v>
      </c>
      <c r="G40" s="69"/>
      <c r="H40" s="104"/>
    </row>
    <row r="41" ht="15.75" customHeight="1">
      <c r="F41" s="79" t="s">
        <v>176</v>
      </c>
      <c r="G41" s="70">
        <f>G10/2</f>
        <v>0.0004421768707</v>
      </c>
      <c r="H41" s="83" t="s">
        <v>222</v>
      </c>
    </row>
    <row r="42" ht="15.75" customHeight="1">
      <c r="F42" s="108" t="s">
        <v>177</v>
      </c>
      <c r="G42" s="109">
        <f>C12*G41</f>
        <v>0</v>
      </c>
      <c r="H42" s="86"/>
    </row>
    <row r="43" ht="15.0" customHeight="1">
      <c r="F43" s="56"/>
      <c r="G43" s="110"/>
      <c r="H43" s="58"/>
    </row>
    <row r="44" ht="15.0" customHeight="1">
      <c r="F44" s="56"/>
      <c r="G44" s="71"/>
      <c r="H44" s="5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14.29"/>
    <col customWidth="1" min="5" max="5" width="7.86"/>
    <col customWidth="1" min="6" max="6" width="40.0"/>
    <col customWidth="1" min="7" max="8" width="18.0"/>
    <col customWidth="1" min="9" max="26" width="8.86"/>
  </cols>
  <sheetData>
    <row r="1">
      <c r="G1" s="58"/>
    </row>
    <row r="2">
      <c r="B2" s="111" t="s">
        <v>229</v>
      </c>
      <c r="G2" s="58"/>
    </row>
    <row r="3">
      <c r="B3" s="48" t="s">
        <v>230</v>
      </c>
      <c r="G3" s="58"/>
    </row>
    <row r="4">
      <c r="G4" s="58"/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97">
        <v>10000.0</v>
      </c>
      <c r="D6" s="48"/>
      <c r="F6" s="50" t="s">
        <v>231</v>
      </c>
      <c r="G6" s="52">
        <f>(C6/4)*0.6</f>
        <v>1500</v>
      </c>
      <c r="H6" s="48"/>
    </row>
    <row r="7" ht="15.0" customHeight="1">
      <c r="B7" s="50" t="s">
        <v>232</v>
      </c>
      <c r="C7" s="112">
        <v>12.0</v>
      </c>
      <c r="D7" s="48"/>
      <c r="F7" s="50" t="s">
        <v>233</v>
      </c>
      <c r="G7" s="52">
        <f>(C6/4)*0.4</f>
        <v>1000</v>
      </c>
      <c r="H7" s="48"/>
    </row>
    <row r="8" ht="15.0" customHeight="1">
      <c r="B8" s="50" t="s">
        <v>234</v>
      </c>
      <c r="C8" s="112">
        <v>12.0</v>
      </c>
      <c r="F8" s="50" t="s">
        <v>235</v>
      </c>
      <c r="G8" s="52">
        <f>G6/C7</f>
        <v>125</v>
      </c>
      <c r="H8" s="48"/>
    </row>
    <row r="9" ht="15.0" customHeight="1">
      <c r="B9" s="50" t="s">
        <v>236</v>
      </c>
      <c r="C9" s="97">
        <v>100000.0</v>
      </c>
      <c r="D9" s="48"/>
      <c r="F9" s="50" t="s">
        <v>237</v>
      </c>
      <c r="G9" s="54">
        <f>G7/C9</f>
        <v>0.01</v>
      </c>
      <c r="H9" s="48"/>
    </row>
    <row r="10" ht="15.0" customHeight="1">
      <c r="B10" s="50" t="s">
        <v>238</v>
      </c>
      <c r="C10" s="97">
        <v>100000.0</v>
      </c>
      <c r="F10" s="50" t="s">
        <v>239</v>
      </c>
      <c r="G10" s="55">
        <f>C8/C7</f>
        <v>1</v>
      </c>
    </row>
    <row r="11" ht="15.0" customHeight="1">
      <c r="B11" s="50" t="s">
        <v>240</v>
      </c>
      <c r="C11" s="112">
        <v>0.0</v>
      </c>
      <c r="F11" s="50" t="s">
        <v>241</v>
      </c>
      <c r="G11" s="55">
        <f>C10/C9</f>
        <v>1</v>
      </c>
    </row>
    <row r="12" ht="15.0" customHeight="1">
      <c r="B12" s="50" t="s">
        <v>242</v>
      </c>
      <c r="C12" s="112">
        <v>0.0</v>
      </c>
      <c r="G12" s="58"/>
    </row>
    <row r="13" ht="15.0" customHeight="1">
      <c r="B13" s="50" t="s">
        <v>243</v>
      </c>
      <c r="C13" s="97">
        <v>0.0</v>
      </c>
      <c r="F13" s="49" t="s">
        <v>244</v>
      </c>
      <c r="G13" s="49"/>
      <c r="H13" s="49"/>
    </row>
    <row r="14" ht="15.0" customHeight="1">
      <c r="B14" s="50" t="s">
        <v>245</v>
      </c>
      <c r="C14" s="51">
        <v>0.0</v>
      </c>
      <c r="F14" s="61" t="s">
        <v>138</v>
      </c>
      <c r="G14" s="62" t="s">
        <v>139</v>
      </c>
      <c r="H14" s="62" t="s">
        <v>246</v>
      </c>
    </row>
    <row r="15" ht="15.0" customHeight="1">
      <c r="B15" s="89" t="s">
        <v>247</v>
      </c>
      <c r="C15" s="113">
        <v>0.0</v>
      </c>
      <c r="D15" s="90" t="s">
        <v>144</v>
      </c>
      <c r="F15" s="50" t="s">
        <v>142</v>
      </c>
      <c r="G15" s="52">
        <f>IF(G10&gt;=1,C7*G8*1,C7*G10*G8*1)</f>
        <v>1500</v>
      </c>
      <c r="H15" s="114">
        <f>G8*1</f>
        <v>125</v>
      </c>
    </row>
    <row r="16" ht="15.0" customHeight="1">
      <c r="B16" s="89" t="s">
        <v>248</v>
      </c>
      <c r="C16" s="113">
        <v>0.0</v>
      </c>
      <c r="D16" s="90" t="s">
        <v>147</v>
      </c>
      <c r="F16" s="50" t="s">
        <v>145</v>
      </c>
      <c r="G16" s="52">
        <f>IF(G10&gt;1,MIN(G10-1,0.25)*C7*G8*1.25,0)</f>
        <v>0</v>
      </c>
      <c r="H16" s="114">
        <f>G8*1.25</f>
        <v>156.25</v>
      </c>
    </row>
    <row r="17" ht="15.0" customHeight="1">
      <c r="B17" s="89" t="s">
        <v>249</v>
      </c>
      <c r="C17" s="113">
        <v>0.0</v>
      </c>
      <c r="D17" s="90" t="s">
        <v>150</v>
      </c>
      <c r="F17" s="50" t="s">
        <v>148</v>
      </c>
      <c r="G17" s="52">
        <f>IF(G10&gt;1.25,MIN(G10-1.25,0.25)*C7*G8*1.5,0)</f>
        <v>0</v>
      </c>
      <c r="H17" s="114">
        <f>G8*1.5</f>
        <v>187.5</v>
      </c>
    </row>
    <row r="18" ht="15.0" customHeight="1">
      <c r="B18" s="89" t="s">
        <v>250</v>
      </c>
      <c r="C18" s="113">
        <v>0.0</v>
      </c>
      <c r="D18" s="90" t="s">
        <v>153</v>
      </c>
      <c r="F18" s="50" t="s">
        <v>151</v>
      </c>
      <c r="G18" s="52">
        <f>IF(G10&gt;1.5,MIN(G10-1.5,0.5)*C7*G8*2,0)</f>
        <v>0</v>
      </c>
      <c r="H18" s="114">
        <f>G8*2</f>
        <v>250</v>
      </c>
    </row>
    <row r="19" ht="15.0" customHeight="1">
      <c r="F19" s="50" t="s">
        <v>154</v>
      </c>
      <c r="G19" s="52">
        <f>IF(G10&gt;2,(G10-2)*C7*G8*2.25,0)</f>
        <v>0</v>
      </c>
      <c r="H19" s="114">
        <f>G8*2.25</f>
        <v>281.25</v>
      </c>
    </row>
    <row r="20" ht="15.0" customHeight="1">
      <c r="F20" s="65" t="s">
        <v>157</v>
      </c>
      <c r="G20" s="66">
        <f>SUM(G15:G19)</f>
        <v>1500</v>
      </c>
    </row>
    <row r="21" ht="15.0" customHeight="1">
      <c r="G21" s="58"/>
    </row>
    <row r="22" ht="15.0" customHeight="1">
      <c r="G22" s="58"/>
    </row>
    <row r="23" ht="15.0" customHeight="1">
      <c r="F23" s="49" t="s">
        <v>251</v>
      </c>
      <c r="G23" s="49"/>
      <c r="H23" s="49"/>
    </row>
    <row r="24" ht="15.0" customHeight="1">
      <c r="F24" s="61" t="s">
        <v>138</v>
      </c>
      <c r="G24" s="62" t="s">
        <v>139</v>
      </c>
      <c r="H24" s="62" t="s">
        <v>140</v>
      </c>
    </row>
    <row r="25" ht="15.0" customHeight="1">
      <c r="F25" s="50" t="s">
        <v>142</v>
      </c>
      <c r="G25" s="52">
        <f>IF(G11&gt;=1,C9*G9*1,C9*G11*G9*1)</f>
        <v>1000</v>
      </c>
      <c r="H25" s="93">
        <f>G9*1</f>
        <v>0.01</v>
      </c>
    </row>
    <row r="26" ht="15.0" customHeight="1">
      <c r="F26" s="50" t="s">
        <v>145</v>
      </c>
      <c r="G26" s="52">
        <f>IF(G11&gt;1,MIN(G11-1,0.25)*C9*G9*1.25,0)</f>
        <v>0</v>
      </c>
      <c r="H26" s="93">
        <f>G9*1.25</f>
        <v>0.0125</v>
      </c>
    </row>
    <row r="27" ht="15.0" customHeight="1">
      <c r="F27" s="50" t="s">
        <v>148</v>
      </c>
      <c r="G27" s="52">
        <f>IF(G11&gt;1.25,MIN(G11-1.25,0.25)*C9*G9*1.5,0)</f>
        <v>0</v>
      </c>
      <c r="H27" s="93">
        <f>G9*1.5</f>
        <v>0.015</v>
      </c>
    </row>
    <row r="28" ht="15.0" customHeight="1">
      <c r="F28" s="50" t="s">
        <v>151</v>
      </c>
      <c r="G28" s="52">
        <f>IF(G11&gt;1.5,MIN(G11-1.5,0.5)*C9*G9*2,0)</f>
        <v>0</v>
      </c>
      <c r="H28" s="93">
        <f>G9*2</f>
        <v>0.02</v>
      </c>
    </row>
    <row r="29" ht="15.0" customHeight="1">
      <c r="F29" s="50" t="s">
        <v>154</v>
      </c>
      <c r="G29" s="52">
        <f>IF(G11&gt;2,(G11-2)*C9*G9*2.25,0)</f>
        <v>0</v>
      </c>
      <c r="H29" s="93">
        <f>G9*2.25</f>
        <v>0.0225</v>
      </c>
    </row>
    <row r="30" ht="15.0" customHeight="1">
      <c r="F30" s="65" t="s">
        <v>157</v>
      </c>
      <c r="G30" s="66">
        <f>SUM(G25:G29)</f>
        <v>1000</v>
      </c>
    </row>
    <row r="31" ht="15.0" customHeight="1">
      <c r="F31" s="89" t="s">
        <v>158</v>
      </c>
      <c r="G31" s="58"/>
    </row>
    <row r="32" ht="15.0" customHeight="1">
      <c r="F32" s="89" t="s">
        <v>252</v>
      </c>
      <c r="G32" s="95">
        <f>C15*G9*1.2</f>
        <v>0</v>
      </c>
    </row>
    <row r="33" ht="15.0" customHeight="1">
      <c r="F33" s="89" t="s">
        <v>253</v>
      </c>
      <c r="G33" s="95">
        <f>C16*G9*1.35</f>
        <v>0</v>
      </c>
    </row>
    <row r="34" ht="15.0" customHeight="1">
      <c r="F34" s="89" t="s">
        <v>254</v>
      </c>
      <c r="G34" s="95">
        <f>C17*G9*1.5</f>
        <v>0</v>
      </c>
    </row>
    <row r="35" ht="15.0" customHeight="1">
      <c r="F35" s="89" t="s">
        <v>255</v>
      </c>
      <c r="G35" s="95">
        <f>C18*G9*2</f>
        <v>0</v>
      </c>
    </row>
    <row r="36" ht="15.0" customHeight="1">
      <c r="F36" s="89" t="s">
        <v>164</v>
      </c>
      <c r="G36" s="95">
        <f>SUM(G32:G35)</f>
        <v>0</v>
      </c>
    </row>
    <row r="37" ht="15.75" customHeight="1">
      <c r="G37" s="58"/>
    </row>
    <row r="38" ht="15.75" customHeight="1">
      <c r="G38" s="58"/>
    </row>
    <row r="39" ht="15.0" customHeight="1">
      <c r="G39" s="58"/>
    </row>
    <row r="40" ht="15.0" customHeight="1">
      <c r="F40" s="49" t="s">
        <v>256</v>
      </c>
      <c r="G40" s="49"/>
      <c r="H40" s="49"/>
    </row>
    <row r="41" ht="15.75" customHeight="1">
      <c r="F41" s="50" t="s">
        <v>257</v>
      </c>
      <c r="G41" s="52">
        <f>C11*50</f>
        <v>0</v>
      </c>
    </row>
    <row r="42" ht="15.0" customHeight="1">
      <c r="F42" s="50" t="s">
        <v>258</v>
      </c>
      <c r="G42" s="52">
        <f>C13*0.02</f>
        <v>0</v>
      </c>
    </row>
    <row r="43" ht="15.75" customHeight="1">
      <c r="F43" s="65" t="s">
        <v>259</v>
      </c>
      <c r="G43" s="66">
        <f>G41+G42</f>
        <v>0</v>
      </c>
    </row>
    <row r="44" ht="15.75" customHeight="1">
      <c r="G44" s="58"/>
    </row>
    <row r="45" ht="15.75" customHeight="1">
      <c r="F45" s="72" t="s">
        <v>170</v>
      </c>
      <c r="G45" s="73"/>
      <c r="H45" s="74"/>
    </row>
    <row r="46" ht="15.0" customHeight="1">
      <c r="F46" s="75" t="s">
        <v>260</v>
      </c>
      <c r="G46" s="76">
        <f>G20</f>
        <v>1500</v>
      </c>
      <c r="H46" s="100"/>
    </row>
    <row r="47" ht="15.0" customHeight="1">
      <c r="F47" s="75" t="s">
        <v>261</v>
      </c>
      <c r="G47" s="76">
        <f>G30</f>
        <v>1000</v>
      </c>
      <c r="H47" s="77"/>
    </row>
    <row r="48" ht="15.0" customHeight="1">
      <c r="F48" s="89" t="s">
        <v>262</v>
      </c>
      <c r="G48" s="95">
        <f>G36</f>
        <v>0</v>
      </c>
    </row>
    <row r="49" ht="15.0" customHeight="1">
      <c r="F49" s="115" t="s">
        <v>263</v>
      </c>
      <c r="G49" s="102">
        <f>G43</f>
        <v>0</v>
      </c>
      <c r="H49" s="77"/>
    </row>
    <row r="50" ht="15.0" customHeight="1">
      <c r="F50" s="116" t="s">
        <v>264</v>
      </c>
      <c r="G50" s="117">
        <f>SUM(G46:G49)</f>
        <v>2500</v>
      </c>
      <c r="H50" s="104"/>
    </row>
    <row r="51" ht="15.0" customHeight="1">
      <c r="F51" s="75" t="s">
        <v>265</v>
      </c>
      <c r="G51" s="76">
        <f>G50*4</f>
        <v>10000</v>
      </c>
      <c r="H51" s="77"/>
    </row>
    <row r="52" ht="15.0" customHeight="1">
      <c r="F52" s="79"/>
      <c r="G52" s="71"/>
      <c r="H52" s="77"/>
    </row>
    <row r="53" ht="15.0" customHeight="1">
      <c r="F53" s="105" t="s">
        <v>175</v>
      </c>
      <c r="G53" s="71"/>
      <c r="H53" s="77"/>
    </row>
    <row r="54" ht="15.0" customHeight="1">
      <c r="F54" s="79" t="s">
        <v>176</v>
      </c>
      <c r="G54" s="70">
        <f>G9/2</f>
        <v>0.005</v>
      </c>
      <c r="H54" s="83" t="s">
        <v>266</v>
      </c>
    </row>
    <row r="55" ht="15.0" customHeight="1">
      <c r="F55" s="108" t="s">
        <v>177</v>
      </c>
      <c r="G55" s="109">
        <f>C14*G54</f>
        <v>0</v>
      </c>
      <c r="H55" s="86"/>
    </row>
    <row r="56" ht="15.0" customHeight="1">
      <c r="G56" s="58"/>
    </row>
    <row r="57" ht="15.0" customHeight="1">
      <c r="G57" s="58"/>
    </row>
    <row r="58" ht="15.0" customHeight="1">
      <c r="G58" s="58"/>
    </row>
    <row r="59" ht="15.0" customHeight="1">
      <c r="F59" s="56"/>
      <c r="G59" s="110"/>
      <c r="H59" s="58"/>
    </row>
    <row r="60" ht="15.75" customHeight="1">
      <c r="G60" s="58"/>
    </row>
    <row r="61" ht="15.75" customHeight="1">
      <c r="G61" s="58"/>
    </row>
    <row r="62" ht="15.75" customHeight="1">
      <c r="G62" s="58"/>
    </row>
    <row r="63" ht="15.75" customHeight="1">
      <c r="G63" s="58"/>
    </row>
    <row r="64" ht="15.75" customHeight="1">
      <c r="G64" s="58"/>
    </row>
    <row r="65" ht="15.75" customHeight="1">
      <c r="G65" s="58"/>
    </row>
    <row r="66" ht="15.75" customHeight="1">
      <c r="G66" s="58"/>
    </row>
    <row r="67" ht="15.75" customHeight="1">
      <c r="G67" s="58"/>
    </row>
    <row r="68" ht="15.75" customHeight="1">
      <c r="G68" s="58"/>
    </row>
    <row r="69" ht="15.75" customHeight="1">
      <c r="G69" s="58"/>
    </row>
    <row r="70" ht="15.75" customHeight="1">
      <c r="G70" s="58"/>
    </row>
    <row r="71" ht="15.75" customHeight="1">
      <c r="G71" s="58"/>
    </row>
    <row r="72" ht="15.75" customHeight="1">
      <c r="G72" s="58"/>
    </row>
    <row r="73" ht="15.75" customHeight="1">
      <c r="G73" s="58"/>
    </row>
    <row r="74" ht="15.75" customHeight="1">
      <c r="G74" s="58"/>
    </row>
    <row r="75" ht="15.75" customHeight="1">
      <c r="G75" s="58"/>
    </row>
    <row r="76" ht="15.75" customHeight="1">
      <c r="G76" s="58"/>
    </row>
    <row r="77" ht="15.75" customHeight="1">
      <c r="G77" s="58"/>
    </row>
    <row r="78" ht="15.75" customHeight="1">
      <c r="G78" s="58"/>
    </row>
    <row r="79" ht="15.75" customHeight="1">
      <c r="G79" s="58"/>
    </row>
    <row r="80" ht="15.75" customHeight="1">
      <c r="G80" s="58"/>
    </row>
    <row r="81" ht="15.75" customHeight="1">
      <c r="G81" s="58"/>
    </row>
    <row r="82" ht="15.75" customHeight="1">
      <c r="G82" s="58"/>
    </row>
    <row r="83" ht="15.75" customHeight="1">
      <c r="G83" s="58"/>
    </row>
    <row r="84" ht="15.75" customHeight="1">
      <c r="G84" s="58"/>
    </row>
    <row r="85" ht="15.75" customHeight="1">
      <c r="G85" s="58"/>
    </row>
    <row r="86" ht="15.75" customHeight="1">
      <c r="G86" s="58"/>
    </row>
    <row r="87" ht="15.75" customHeight="1">
      <c r="G87" s="58"/>
    </row>
    <row r="88" ht="15.75" customHeight="1">
      <c r="G88" s="58"/>
    </row>
    <row r="89" ht="15.75" customHeight="1">
      <c r="G89" s="58"/>
    </row>
    <row r="90" ht="15.75" customHeight="1">
      <c r="G90" s="58"/>
    </row>
    <row r="91" ht="15.75" customHeight="1">
      <c r="G91" s="58"/>
    </row>
    <row r="92" ht="15.75" customHeight="1">
      <c r="G92" s="58"/>
    </row>
    <row r="93" ht="15.75" customHeight="1">
      <c r="G93" s="58"/>
    </row>
    <row r="94" ht="15.75" customHeight="1">
      <c r="G94" s="58"/>
    </row>
    <row r="95" ht="15.75" customHeight="1">
      <c r="G95" s="58"/>
    </row>
    <row r="96" ht="15.75" customHeight="1">
      <c r="G96" s="58"/>
    </row>
    <row r="97" ht="15.75" customHeight="1">
      <c r="G97" s="58"/>
    </row>
    <row r="98" ht="15.75" customHeight="1">
      <c r="G98" s="58"/>
    </row>
    <row r="99" ht="15.75" customHeight="1">
      <c r="G99" s="58"/>
    </row>
    <row r="100" ht="15.75" customHeight="1">
      <c r="G100" s="58"/>
    </row>
    <row r="101" ht="15.75" customHeight="1">
      <c r="G101" s="58"/>
    </row>
    <row r="102" ht="15.75" customHeight="1">
      <c r="G102" s="58"/>
    </row>
    <row r="103" ht="15.75" customHeight="1">
      <c r="G103" s="58"/>
    </row>
    <row r="104" ht="15.75" customHeight="1">
      <c r="G104" s="58"/>
    </row>
    <row r="105" ht="15.75" customHeight="1">
      <c r="G105" s="58"/>
    </row>
    <row r="106" ht="15.75" customHeight="1">
      <c r="G106" s="58"/>
    </row>
    <row r="107" ht="15.75" customHeight="1">
      <c r="G107" s="58"/>
    </row>
    <row r="108" ht="15.75" customHeight="1">
      <c r="G108" s="58"/>
    </row>
    <row r="109" ht="15.75" customHeight="1">
      <c r="G109" s="58"/>
    </row>
    <row r="110" ht="15.75" customHeight="1">
      <c r="G110" s="58"/>
    </row>
    <row r="111" ht="15.75" customHeight="1">
      <c r="G111" s="58"/>
    </row>
    <row r="112" ht="15.75" customHeight="1">
      <c r="G112" s="58"/>
    </row>
    <row r="113" ht="15.75" customHeight="1">
      <c r="G113" s="58"/>
    </row>
    <row r="114" ht="15.75" customHeight="1">
      <c r="G114" s="58"/>
    </row>
    <row r="115" ht="15.75" customHeight="1">
      <c r="G115" s="58"/>
    </row>
    <row r="116" ht="15.75" customHeight="1">
      <c r="G116" s="58"/>
    </row>
    <row r="117" ht="15.75" customHeight="1">
      <c r="G117" s="58"/>
    </row>
    <row r="118" ht="15.75" customHeight="1">
      <c r="G118" s="58"/>
    </row>
    <row r="119" ht="15.75" customHeight="1">
      <c r="G119" s="58"/>
    </row>
    <row r="120" ht="15.75" customHeight="1">
      <c r="G120" s="58"/>
    </row>
    <row r="121" ht="15.75" customHeight="1">
      <c r="G121" s="58"/>
    </row>
    <row r="122" ht="15.75" customHeight="1">
      <c r="G122" s="58"/>
    </row>
    <row r="123" ht="15.75" customHeight="1">
      <c r="G123" s="58"/>
    </row>
    <row r="124" ht="15.75" customHeight="1">
      <c r="G124" s="58"/>
    </row>
    <row r="125" ht="15.75" customHeight="1">
      <c r="G125" s="58"/>
    </row>
    <row r="126" ht="15.75" customHeight="1">
      <c r="G126" s="58"/>
    </row>
    <row r="127" ht="15.75" customHeight="1">
      <c r="G127" s="58"/>
    </row>
    <row r="128" ht="15.75" customHeight="1">
      <c r="G128" s="58"/>
    </row>
    <row r="129" ht="15.75" customHeight="1">
      <c r="G129" s="58"/>
    </row>
    <row r="130" ht="15.75" customHeight="1">
      <c r="G130" s="58"/>
    </row>
    <row r="131" ht="15.75" customHeight="1">
      <c r="G131" s="58"/>
    </row>
    <row r="132" ht="15.75" customHeight="1">
      <c r="G132" s="58"/>
    </row>
    <row r="133" ht="15.75" customHeight="1">
      <c r="G133" s="58"/>
    </row>
    <row r="134" ht="15.75" customHeight="1">
      <c r="G134" s="58"/>
    </row>
    <row r="135" ht="15.75" customHeight="1">
      <c r="G135" s="58"/>
    </row>
    <row r="136" ht="15.75" customHeight="1">
      <c r="G136" s="58"/>
    </row>
    <row r="137" ht="15.75" customHeight="1">
      <c r="G137" s="58"/>
    </row>
    <row r="138" ht="15.75" customHeight="1">
      <c r="G138" s="58"/>
    </row>
    <row r="139" ht="15.75" customHeight="1">
      <c r="G139" s="58"/>
    </row>
    <row r="140" ht="15.75" customHeight="1">
      <c r="G140" s="58"/>
    </row>
    <row r="141" ht="15.75" customHeight="1">
      <c r="G141" s="58"/>
    </row>
    <row r="142" ht="15.75" customHeight="1">
      <c r="G142" s="58"/>
    </row>
    <row r="143" ht="15.75" customHeight="1">
      <c r="G143" s="58"/>
    </row>
    <row r="144" ht="15.75" customHeight="1">
      <c r="G144" s="58"/>
    </row>
    <row r="145" ht="15.75" customHeight="1">
      <c r="G145" s="58"/>
    </row>
    <row r="146" ht="15.75" customHeight="1">
      <c r="G146" s="58"/>
    </row>
    <row r="147" ht="15.75" customHeight="1">
      <c r="G147" s="58"/>
    </row>
    <row r="148" ht="15.75" customHeight="1">
      <c r="G148" s="58"/>
    </row>
    <row r="149" ht="15.75" customHeight="1">
      <c r="G149" s="58"/>
    </row>
    <row r="150" ht="15.75" customHeight="1">
      <c r="G150" s="58"/>
    </row>
    <row r="151" ht="15.75" customHeight="1">
      <c r="G151" s="58"/>
    </row>
    <row r="152" ht="15.75" customHeight="1">
      <c r="G152" s="58"/>
    </row>
    <row r="153" ht="15.75" customHeight="1">
      <c r="G153" s="58"/>
    </row>
    <row r="154" ht="15.75" customHeight="1">
      <c r="G154" s="58"/>
    </row>
    <row r="155" ht="15.75" customHeight="1">
      <c r="G155" s="58"/>
    </row>
    <row r="156" ht="15.75" customHeight="1">
      <c r="G156" s="58"/>
    </row>
    <row r="157" ht="15.75" customHeight="1">
      <c r="G157" s="58"/>
    </row>
    <row r="158" ht="15.75" customHeight="1">
      <c r="G158" s="58"/>
    </row>
    <row r="159" ht="15.75" customHeight="1">
      <c r="G159" s="58"/>
    </row>
    <row r="160" ht="15.75" customHeight="1">
      <c r="G160" s="58"/>
    </row>
    <row r="161" ht="15.75" customHeight="1">
      <c r="G161" s="58"/>
    </row>
    <row r="162" ht="15.75" customHeight="1">
      <c r="G162" s="58"/>
    </row>
    <row r="163" ht="15.75" customHeight="1">
      <c r="G163" s="58"/>
    </row>
    <row r="164" ht="15.75" customHeight="1">
      <c r="G164" s="58"/>
    </row>
    <row r="165" ht="15.75" customHeight="1">
      <c r="G165" s="58"/>
    </row>
    <row r="166" ht="15.75" customHeight="1">
      <c r="G166" s="58"/>
    </row>
    <row r="167" ht="15.75" customHeight="1">
      <c r="G167" s="58"/>
    </row>
    <row r="168" ht="15.75" customHeight="1">
      <c r="G168" s="58"/>
    </row>
    <row r="169" ht="15.75" customHeight="1">
      <c r="G169" s="58"/>
    </row>
    <row r="170" ht="15.75" customHeight="1">
      <c r="G170" s="58"/>
    </row>
    <row r="171" ht="15.75" customHeight="1">
      <c r="G171" s="58"/>
    </row>
    <row r="172" ht="15.75" customHeight="1">
      <c r="G172" s="58"/>
    </row>
    <row r="173" ht="15.75" customHeight="1">
      <c r="G173" s="58"/>
    </row>
    <row r="174" ht="15.75" customHeight="1">
      <c r="G174" s="58"/>
    </row>
    <row r="175" ht="15.75" customHeight="1">
      <c r="G175" s="58"/>
    </row>
    <row r="176" ht="15.75" customHeight="1">
      <c r="G176" s="58"/>
    </row>
    <row r="177" ht="15.75" customHeight="1">
      <c r="G177" s="58"/>
    </row>
    <row r="178" ht="15.75" customHeight="1">
      <c r="G178" s="58"/>
    </row>
    <row r="179" ht="15.75" customHeight="1">
      <c r="G179" s="58"/>
    </row>
    <row r="180" ht="15.75" customHeight="1">
      <c r="G180" s="58"/>
    </row>
    <row r="181" ht="15.75" customHeight="1">
      <c r="G181" s="58"/>
    </row>
    <row r="182" ht="15.75" customHeight="1">
      <c r="G182" s="58"/>
    </row>
    <row r="183" ht="15.75" customHeight="1">
      <c r="G183" s="58"/>
    </row>
    <row r="184" ht="15.75" customHeight="1">
      <c r="G184" s="58"/>
    </row>
    <row r="185" ht="15.75" customHeight="1">
      <c r="G185" s="58"/>
    </row>
    <row r="186" ht="15.75" customHeight="1">
      <c r="G186" s="58"/>
    </row>
    <row r="187" ht="15.75" customHeight="1">
      <c r="G187" s="58"/>
    </row>
    <row r="188" ht="15.75" customHeight="1">
      <c r="G188" s="58"/>
    </row>
    <row r="189" ht="15.75" customHeight="1">
      <c r="G189" s="58"/>
    </row>
    <row r="190" ht="15.75" customHeight="1">
      <c r="G190" s="58"/>
    </row>
    <row r="191" ht="15.75" customHeight="1">
      <c r="G191" s="58"/>
    </row>
    <row r="192" ht="15.75" customHeight="1">
      <c r="G192" s="58"/>
    </row>
    <row r="193" ht="15.75" customHeight="1">
      <c r="G193" s="58"/>
    </row>
    <row r="194" ht="15.75" customHeight="1">
      <c r="G194" s="58"/>
    </row>
    <row r="195" ht="15.75" customHeight="1">
      <c r="G195" s="58"/>
    </row>
    <row r="196" ht="15.75" customHeight="1">
      <c r="G196" s="58"/>
    </row>
    <row r="197" ht="15.75" customHeight="1">
      <c r="G197" s="58"/>
    </row>
    <row r="198" ht="15.75" customHeight="1">
      <c r="G198" s="58"/>
    </row>
    <row r="199" ht="15.75" customHeight="1">
      <c r="G199" s="58"/>
    </row>
    <row r="200" ht="15.75" customHeight="1">
      <c r="G200" s="58"/>
    </row>
    <row r="201" ht="15.75" customHeight="1">
      <c r="G201" s="58"/>
    </row>
    <row r="202" ht="15.75" customHeight="1">
      <c r="G202" s="58"/>
    </row>
    <row r="203" ht="15.75" customHeight="1">
      <c r="G203" s="58"/>
    </row>
    <row r="204" ht="15.75" customHeight="1">
      <c r="G204" s="58"/>
    </row>
    <row r="205" ht="15.75" customHeight="1">
      <c r="G205" s="58"/>
    </row>
    <row r="206" ht="15.75" customHeight="1">
      <c r="G206" s="58"/>
    </row>
    <row r="207" ht="15.75" customHeight="1">
      <c r="G207" s="58"/>
    </row>
    <row r="208" ht="15.75" customHeight="1">
      <c r="G208" s="58"/>
    </row>
    <row r="209" ht="15.75" customHeight="1">
      <c r="G209" s="58"/>
    </row>
    <row r="210" ht="15.75" customHeight="1">
      <c r="G210" s="58"/>
    </row>
    <row r="211" ht="15.75" customHeight="1">
      <c r="G211" s="58"/>
    </row>
    <row r="212" ht="15.75" customHeight="1">
      <c r="G212" s="58"/>
    </row>
    <row r="213" ht="15.75" customHeight="1">
      <c r="G213" s="58"/>
    </row>
    <row r="214" ht="15.75" customHeight="1">
      <c r="G214" s="58"/>
    </row>
    <row r="215" ht="15.75" customHeight="1">
      <c r="G215" s="58"/>
    </row>
    <row r="216" ht="15.75" customHeight="1">
      <c r="G216" s="58"/>
    </row>
    <row r="217" ht="15.75" customHeight="1">
      <c r="G217" s="58"/>
    </row>
    <row r="218" ht="15.75" customHeight="1">
      <c r="G218" s="58"/>
    </row>
    <row r="219" ht="15.75" customHeight="1">
      <c r="G219" s="58"/>
    </row>
    <row r="220" ht="15.75" customHeight="1">
      <c r="G220" s="58"/>
    </row>
    <row r="221" ht="15.75" customHeight="1">
      <c r="G221" s="58"/>
    </row>
    <row r="222" ht="15.75" customHeight="1">
      <c r="G222" s="58"/>
    </row>
    <row r="223" ht="15.75" customHeight="1">
      <c r="G223" s="58"/>
    </row>
    <row r="224" ht="15.75" customHeight="1">
      <c r="G224" s="58"/>
    </row>
    <row r="225" ht="15.75" customHeight="1">
      <c r="G225" s="58"/>
    </row>
    <row r="226" ht="15.75" customHeight="1">
      <c r="G226" s="58"/>
    </row>
    <row r="227" ht="15.75" customHeight="1">
      <c r="G227" s="58"/>
    </row>
    <row r="228" ht="15.75" customHeight="1">
      <c r="G228" s="58"/>
    </row>
    <row r="229" ht="15.75" customHeight="1">
      <c r="G229" s="58"/>
    </row>
    <row r="230" ht="15.75" customHeight="1">
      <c r="G230" s="58"/>
    </row>
    <row r="231" ht="15.75" customHeight="1">
      <c r="G231" s="58"/>
    </row>
    <row r="232" ht="15.75" customHeight="1">
      <c r="G232" s="58"/>
    </row>
    <row r="233" ht="15.75" customHeight="1">
      <c r="G233" s="58"/>
    </row>
    <row r="234" ht="15.75" customHeight="1">
      <c r="G234" s="58"/>
    </row>
    <row r="235" ht="15.75" customHeight="1">
      <c r="G235" s="58"/>
    </row>
    <row r="236" ht="15.75" customHeight="1">
      <c r="G236" s="58"/>
    </row>
    <row r="237" ht="15.75" customHeight="1">
      <c r="G237" s="58"/>
    </row>
    <row r="238" ht="15.75" customHeight="1">
      <c r="G238" s="58"/>
    </row>
    <row r="239" ht="15.75" customHeight="1">
      <c r="G239" s="58"/>
    </row>
    <row r="240" ht="15.75" customHeight="1">
      <c r="G240" s="58"/>
    </row>
    <row r="241" ht="15.75" customHeight="1">
      <c r="G241" s="58"/>
    </row>
    <row r="242" ht="15.75" customHeight="1">
      <c r="G242" s="58"/>
    </row>
    <row r="243" ht="15.75" customHeight="1">
      <c r="G243" s="58"/>
    </row>
    <row r="244" ht="15.75" customHeight="1">
      <c r="G244" s="58"/>
    </row>
    <row r="245" ht="15.75" customHeight="1">
      <c r="G245" s="58"/>
    </row>
    <row r="246" ht="15.75" customHeight="1">
      <c r="G246" s="58"/>
    </row>
    <row r="247" ht="15.75" customHeight="1">
      <c r="G247" s="58"/>
    </row>
    <row r="248" ht="15.75" customHeight="1">
      <c r="G248" s="58"/>
    </row>
    <row r="249" ht="15.75" customHeight="1">
      <c r="G249" s="58"/>
    </row>
    <row r="250" ht="15.75" customHeight="1">
      <c r="G250" s="58"/>
    </row>
    <row r="251" ht="15.75" customHeight="1">
      <c r="G251" s="58"/>
    </row>
    <row r="252" ht="15.75" customHeight="1">
      <c r="G252" s="58"/>
    </row>
    <row r="253" ht="15.75" customHeight="1">
      <c r="G253" s="58"/>
    </row>
    <row r="254" ht="15.75" customHeight="1">
      <c r="G254" s="58"/>
    </row>
    <row r="255" ht="15.75" customHeight="1">
      <c r="G255" s="58"/>
    </row>
    <row r="256" ht="15.75" customHeight="1">
      <c r="G256" s="58"/>
    </row>
    <row r="257" ht="15.75" customHeight="1">
      <c r="G257" s="58"/>
    </row>
    <row r="258" ht="15.75" customHeight="1">
      <c r="G258" s="58"/>
    </row>
    <row r="259" ht="15.75" customHeight="1">
      <c r="G259" s="58"/>
    </row>
    <row r="260" ht="15.75" customHeight="1">
      <c r="G260" s="58"/>
    </row>
    <row r="261" ht="15.75" customHeight="1">
      <c r="G261" s="58"/>
    </row>
    <row r="262" ht="15.75" customHeight="1">
      <c r="G262" s="58"/>
    </row>
    <row r="263" ht="15.75" customHeight="1">
      <c r="G263" s="58"/>
    </row>
    <row r="264" ht="15.75" customHeight="1">
      <c r="G264" s="58"/>
    </row>
    <row r="265" ht="15.75" customHeight="1">
      <c r="G265" s="58"/>
    </row>
    <row r="266" ht="15.75" customHeight="1">
      <c r="G266" s="58"/>
    </row>
    <row r="267" ht="15.75" customHeight="1">
      <c r="G267" s="58"/>
    </row>
    <row r="268" ht="15.75" customHeight="1">
      <c r="G268" s="58"/>
    </row>
    <row r="269" ht="15.75" customHeight="1">
      <c r="G269" s="58"/>
    </row>
    <row r="270" ht="15.75" customHeight="1">
      <c r="G270" s="58"/>
    </row>
    <row r="271" ht="15.75" customHeight="1">
      <c r="G271" s="58"/>
    </row>
    <row r="272" ht="15.75" customHeight="1">
      <c r="G272" s="58"/>
    </row>
    <row r="273" ht="15.75" customHeight="1">
      <c r="G273" s="58"/>
    </row>
    <row r="274" ht="15.75" customHeight="1">
      <c r="G274" s="58"/>
    </row>
    <row r="275" ht="15.75" customHeight="1">
      <c r="G275" s="58"/>
    </row>
    <row r="276" ht="15.75" customHeight="1">
      <c r="G276" s="58"/>
    </row>
    <row r="277" ht="15.75" customHeight="1">
      <c r="G277" s="58"/>
    </row>
    <row r="278" ht="15.75" customHeight="1">
      <c r="G278" s="58"/>
    </row>
    <row r="279" ht="15.75" customHeight="1">
      <c r="G279" s="58"/>
    </row>
    <row r="280" ht="15.75" customHeight="1">
      <c r="G280" s="58"/>
    </row>
    <row r="281" ht="15.75" customHeight="1">
      <c r="G281" s="58"/>
    </row>
    <row r="282" ht="15.75" customHeight="1">
      <c r="G282" s="58"/>
    </row>
    <row r="283" ht="15.75" customHeight="1">
      <c r="G283" s="58"/>
    </row>
    <row r="284" ht="15.75" customHeight="1">
      <c r="G284" s="58"/>
    </row>
    <row r="285" ht="15.75" customHeight="1">
      <c r="G285" s="58"/>
    </row>
    <row r="286" ht="15.75" customHeight="1">
      <c r="G286" s="58"/>
    </row>
    <row r="287" ht="15.75" customHeight="1">
      <c r="G287" s="58"/>
    </row>
    <row r="288" ht="15.75" customHeight="1">
      <c r="G288" s="58"/>
    </row>
    <row r="289" ht="15.75" customHeight="1">
      <c r="G289" s="58"/>
    </row>
    <row r="290" ht="15.75" customHeight="1">
      <c r="G290" s="58"/>
    </row>
    <row r="291" ht="15.75" customHeight="1">
      <c r="G291" s="58"/>
    </row>
    <row r="292" ht="15.75" customHeight="1">
      <c r="G292" s="58"/>
    </row>
    <row r="293" ht="15.75" customHeight="1">
      <c r="G293" s="58"/>
    </row>
    <row r="294" ht="15.75" customHeight="1">
      <c r="G294" s="58"/>
    </row>
    <row r="295" ht="15.75" customHeight="1">
      <c r="G295" s="58"/>
    </row>
    <row r="296" ht="15.75" customHeight="1">
      <c r="G296" s="58"/>
    </row>
    <row r="297" ht="15.75" customHeight="1">
      <c r="G297" s="58"/>
    </row>
    <row r="298" ht="15.75" customHeight="1">
      <c r="G298" s="58"/>
    </row>
    <row r="299" ht="15.75" customHeight="1">
      <c r="G299" s="58"/>
    </row>
    <row r="300" ht="15.75" customHeight="1">
      <c r="G300" s="58"/>
    </row>
    <row r="301" ht="15.75" customHeight="1">
      <c r="G301" s="58"/>
    </row>
    <row r="302" ht="15.75" customHeight="1">
      <c r="G302" s="58"/>
    </row>
    <row r="303" ht="15.75" customHeight="1">
      <c r="G303" s="58"/>
    </row>
    <row r="304" ht="15.75" customHeight="1">
      <c r="G304" s="58"/>
    </row>
    <row r="305" ht="15.75" customHeight="1">
      <c r="G305" s="58"/>
    </row>
    <row r="306" ht="15.75" customHeight="1">
      <c r="G306" s="58"/>
    </row>
    <row r="307" ht="15.75" customHeight="1">
      <c r="G307" s="58"/>
    </row>
    <row r="308" ht="15.75" customHeight="1">
      <c r="G308" s="58"/>
    </row>
    <row r="309" ht="15.75" customHeight="1">
      <c r="G309" s="58"/>
    </row>
    <row r="310" ht="15.75" customHeight="1">
      <c r="G310" s="58"/>
    </row>
    <row r="311" ht="15.75" customHeight="1">
      <c r="G311" s="58"/>
    </row>
    <row r="312" ht="15.75" customHeight="1">
      <c r="G312" s="58"/>
    </row>
    <row r="313" ht="15.75" customHeight="1">
      <c r="G313" s="58"/>
    </row>
    <row r="314" ht="15.75" customHeight="1">
      <c r="G314" s="58"/>
    </row>
    <row r="315" ht="15.75" customHeight="1">
      <c r="G315" s="58"/>
    </row>
    <row r="316" ht="15.75" customHeight="1">
      <c r="G316" s="58"/>
    </row>
    <row r="317" ht="15.75" customHeight="1">
      <c r="G317" s="58"/>
    </row>
    <row r="318" ht="15.75" customHeight="1">
      <c r="G318" s="58"/>
    </row>
    <row r="319" ht="15.75" customHeight="1">
      <c r="G319" s="58"/>
    </row>
    <row r="320" ht="15.75" customHeight="1">
      <c r="G320" s="58"/>
    </row>
    <row r="321" ht="15.75" customHeight="1">
      <c r="G321" s="58"/>
    </row>
    <row r="322" ht="15.75" customHeight="1">
      <c r="G322" s="58"/>
    </row>
    <row r="323" ht="15.75" customHeight="1">
      <c r="G323" s="58"/>
    </row>
    <row r="324" ht="15.75" customHeight="1">
      <c r="G324" s="58"/>
    </row>
    <row r="325" ht="15.75" customHeight="1">
      <c r="G325" s="58"/>
    </row>
    <row r="326" ht="15.75" customHeight="1">
      <c r="G326" s="58"/>
    </row>
    <row r="327" ht="15.75" customHeight="1">
      <c r="G327" s="58"/>
    </row>
    <row r="328" ht="15.75" customHeight="1">
      <c r="G328" s="58"/>
    </row>
    <row r="329" ht="15.75" customHeight="1">
      <c r="G329" s="58"/>
    </row>
    <row r="330" ht="15.75" customHeight="1">
      <c r="G330" s="58"/>
    </row>
    <row r="331" ht="15.75" customHeight="1">
      <c r="G331" s="58"/>
    </row>
    <row r="332" ht="15.75" customHeight="1">
      <c r="G332" s="58"/>
    </row>
    <row r="333" ht="15.75" customHeight="1">
      <c r="G333" s="58"/>
    </row>
    <row r="334" ht="15.75" customHeight="1">
      <c r="G334" s="58"/>
    </row>
    <row r="335" ht="15.75" customHeight="1">
      <c r="G335" s="58"/>
    </row>
    <row r="336" ht="15.75" customHeight="1">
      <c r="G336" s="58"/>
    </row>
    <row r="337" ht="15.75" customHeight="1">
      <c r="G337" s="58"/>
    </row>
    <row r="338" ht="15.75" customHeight="1">
      <c r="G338" s="58"/>
    </row>
    <row r="339" ht="15.75" customHeight="1">
      <c r="G339" s="58"/>
    </row>
    <row r="340" ht="15.75" customHeight="1">
      <c r="G340" s="58"/>
    </row>
    <row r="341" ht="15.75" customHeight="1">
      <c r="G341" s="58"/>
    </row>
    <row r="342" ht="15.75" customHeight="1">
      <c r="G342" s="58"/>
    </row>
    <row r="343" ht="15.75" customHeight="1">
      <c r="G343" s="58"/>
    </row>
    <row r="344" ht="15.75" customHeight="1">
      <c r="G344" s="58"/>
    </row>
    <row r="345" ht="15.75" customHeight="1">
      <c r="G345" s="58"/>
    </row>
    <row r="346" ht="15.75" customHeight="1">
      <c r="G346" s="58"/>
    </row>
    <row r="347" ht="15.75" customHeight="1">
      <c r="G347" s="58"/>
    </row>
    <row r="348" ht="15.75" customHeight="1">
      <c r="G348" s="58"/>
    </row>
    <row r="349" ht="15.75" customHeight="1">
      <c r="G349" s="58"/>
    </row>
    <row r="350" ht="15.75" customHeight="1">
      <c r="G350" s="58"/>
    </row>
    <row r="351" ht="15.75" customHeight="1">
      <c r="G351" s="58"/>
    </row>
    <row r="352" ht="15.75" customHeight="1">
      <c r="G352" s="58"/>
    </row>
    <row r="353" ht="15.75" customHeight="1">
      <c r="G353" s="58"/>
    </row>
    <row r="354" ht="15.75" customHeight="1">
      <c r="G354" s="58"/>
    </row>
    <row r="355" ht="15.75" customHeight="1">
      <c r="G355" s="58"/>
    </row>
    <row r="356" ht="15.75" customHeight="1">
      <c r="G356" s="58"/>
    </row>
    <row r="357" ht="15.75" customHeight="1">
      <c r="G357" s="58"/>
    </row>
    <row r="358" ht="15.75" customHeight="1">
      <c r="G358" s="58"/>
    </row>
    <row r="359" ht="15.75" customHeight="1">
      <c r="G359" s="58"/>
    </row>
    <row r="360" ht="15.75" customHeight="1">
      <c r="G360" s="58"/>
    </row>
    <row r="361" ht="15.75" customHeight="1">
      <c r="G361" s="58"/>
    </row>
    <row r="362" ht="15.75" customHeight="1">
      <c r="G362" s="58"/>
    </row>
    <row r="363" ht="15.75" customHeight="1">
      <c r="G363" s="58"/>
    </row>
    <row r="364" ht="15.75" customHeight="1">
      <c r="G364" s="58"/>
    </row>
    <row r="365" ht="15.75" customHeight="1">
      <c r="G365" s="58"/>
    </row>
    <row r="366" ht="15.75" customHeight="1">
      <c r="G366" s="58"/>
    </row>
    <row r="367" ht="15.75" customHeight="1">
      <c r="G367" s="58"/>
    </row>
    <row r="368" ht="15.75" customHeight="1">
      <c r="G368" s="58"/>
    </row>
    <row r="369" ht="15.75" customHeight="1">
      <c r="G369" s="58"/>
    </row>
    <row r="370" ht="15.75" customHeight="1">
      <c r="G370" s="58"/>
    </row>
    <row r="371" ht="15.75" customHeight="1">
      <c r="G371" s="58"/>
    </row>
    <row r="372" ht="15.75" customHeight="1">
      <c r="G372" s="58"/>
    </row>
    <row r="373" ht="15.75" customHeight="1">
      <c r="G373" s="58"/>
    </row>
    <row r="374" ht="15.75" customHeight="1">
      <c r="G374" s="58"/>
    </row>
    <row r="375" ht="15.75" customHeight="1">
      <c r="G375" s="58"/>
    </row>
    <row r="376" ht="15.75" customHeight="1">
      <c r="G376" s="58"/>
    </row>
    <row r="377" ht="15.75" customHeight="1">
      <c r="G377" s="58"/>
    </row>
    <row r="378" ht="15.75" customHeight="1">
      <c r="G378" s="58"/>
    </row>
    <row r="379" ht="15.75" customHeight="1">
      <c r="G379" s="58"/>
    </row>
    <row r="380" ht="15.75" customHeight="1">
      <c r="G380" s="58"/>
    </row>
    <row r="381" ht="15.75" customHeight="1">
      <c r="G381" s="58"/>
    </row>
    <row r="382" ht="15.75" customHeight="1">
      <c r="G382" s="58"/>
    </row>
    <row r="383" ht="15.75" customHeight="1">
      <c r="G383" s="58"/>
    </row>
    <row r="384" ht="15.75" customHeight="1">
      <c r="G384" s="58"/>
    </row>
    <row r="385" ht="15.75" customHeight="1">
      <c r="G385" s="58"/>
    </row>
    <row r="386" ht="15.75" customHeight="1">
      <c r="G386" s="58"/>
    </row>
    <row r="387" ht="15.75" customHeight="1">
      <c r="G387" s="58"/>
    </row>
    <row r="388" ht="15.75" customHeight="1">
      <c r="G388" s="58"/>
    </row>
    <row r="389" ht="15.75" customHeight="1">
      <c r="G389" s="58"/>
    </row>
    <row r="390" ht="15.75" customHeight="1">
      <c r="G390" s="58"/>
    </row>
    <row r="391" ht="15.75" customHeight="1">
      <c r="G391" s="58"/>
    </row>
    <row r="392" ht="15.75" customHeight="1">
      <c r="G392" s="58"/>
    </row>
    <row r="393" ht="15.75" customHeight="1">
      <c r="G393" s="58"/>
    </row>
    <row r="394" ht="15.75" customHeight="1">
      <c r="G394" s="58"/>
    </row>
    <row r="395" ht="15.75" customHeight="1">
      <c r="G395" s="58"/>
    </row>
    <row r="396" ht="15.75" customHeight="1">
      <c r="G396" s="58"/>
    </row>
    <row r="397" ht="15.75" customHeight="1">
      <c r="G397" s="58"/>
    </row>
    <row r="398" ht="15.75" customHeight="1">
      <c r="G398" s="58"/>
    </row>
    <row r="399" ht="15.75" customHeight="1">
      <c r="G399" s="58"/>
    </row>
    <row r="400" ht="15.75" customHeight="1">
      <c r="G400" s="58"/>
    </row>
    <row r="401" ht="15.75" customHeight="1">
      <c r="G401" s="58"/>
    </row>
    <row r="402" ht="15.75" customHeight="1">
      <c r="G402" s="58"/>
    </row>
    <row r="403" ht="15.75" customHeight="1">
      <c r="G403" s="58"/>
    </row>
    <row r="404" ht="15.75" customHeight="1">
      <c r="G404" s="58"/>
    </row>
    <row r="405" ht="15.75" customHeight="1">
      <c r="G405" s="58"/>
    </row>
    <row r="406" ht="15.75" customHeight="1">
      <c r="G406" s="58"/>
    </row>
    <row r="407" ht="15.75" customHeight="1">
      <c r="G407" s="58"/>
    </row>
    <row r="408" ht="15.75" customHeight="1">
      <c r="G408" s="58"/>
    </row>
    <row r="409" ht="15.75" customHeight="1">
      <c r="G409" s="58"/>
    </row>
    <row r="410" ht="15.75" customHeight="1">
      <c r="G410" s="58"/>
    </row>
    <row r="411" ht="15.75" customHeight="1">
      <c r="G411" s="58"/>
    </row>
    <row r="412" ht="15.75" customHeight="1">
      <c r="G412" s="58"/>
    </row>
    <row r="413" ht="15.75" customHeight="1">
      <c r="G413" s="58"/>
    </row>
    <row r="414" ht="15.75" customHeight="1">
      <c r="G414" s="58"/>
    </row>
    <row r="415" ht="15.75" customHeight="1">
      <c r="G415" s="58"/>
    </row>
    <row r="416" ht="15.75" customHeight="1">
      <c r="G416" s="58"/>
    </row>
    <row r="417" ht="15.75" customHeight="1">
      <c r="G417" s="58"/>
    </row>
    <row r="418" ht="15.75" customHeight="1">
      <c r="G418" s="58"/>
    </row>
    <row r="419" ht="15.75" customHeight="1">
      <c r="G419" s="58"/>
    </row>
    <row r="420" ht="15.75" customHeight="1">
      <c r="G420" s="58"/>
    </row>
    <row r="421" ht="15.75" customHeight="1">
      <c r="G421" s="58"/>
    </row>
    <row r="422" ht="15.75" customHeight="1">
      <c r="G422" s="58"/>
    </row>
    <row r="423" ht="15.75" customHeight="1">
      <c r="G423" s="58"/>
    </row>
    <row r="424" ht="15.75" customHeight="1">
      <c r="G424" s="58"/>
    </row>
    <row r="425" ht="15.75" customHeight="1">
      <c r="G425" s="58"/>
    </row>
    <row r="426" ht="15.75" customHeight="1">
      <c r="G426" s="58"/>
    </row>
    <row r="427" ht="15.75" customHeight="1">
      <c r="G427" s="58"/>
    </row>
    <row r="428" ht="15.75" customHeight="1">
      <c r="G428" s="58"/>
    </row>
    <row r="429" ht="15.75" customHeight="1">
      <c r="G429" s="58"/>
    </row>
    <row r="430" ht="15.75" customHeight="1">
      <c r="G430" s="58"/>
    </row>
    <row r="431" ht="15.75" customHeight="1">
      <c r="G431" s="58"/>
    </row>
    <row r="432" ht="15.75" customHeight="1">
      <c r="G432" s="58"/>
    </row>
    <row r="433" ht="15.75" customHeight="1">
      <c r="G433" s="58"/>
    </row>
    <row r="434" ht="15.75" customHeight="1">
      <c r="G434" s="58"/>
    </row>
    <row r="435" ht="15.75" customHeight="1">
      <c r="G435" s="58"/>
    </row>
    <row r="436" ht="15.75" customHeight="1">
      <c r="G436" s="58"/>
    </row>
    <row r="437" ht="15.75" customHeight="1">
      <c r="G437" s="58"/>
    </row>
    <row r="438" ht="15.75" customHeight="1">
      <c r="G438" s="58"/>
    </row>
    <row r="439" ht="15.75" customHeight="1">
      <c r="G439" s="58"/>
    </row>
    <row r="440" ht="15.75" customHeight="1">
      <c r="G440" s="58"/>
    </row>
    <row r="441" ht="15.75" customHeight="1">
      <c r="G441" s="58"/>
    </row>
    <row r="442" ht="15.75" customHeight="1">
      <c r="G442" s="58"/>
    </row>
    <row r="443" ht="15.75" customHeight="1">
      <c r="G443" s="58"/>
    </row>
    <row r="444" ht="15.75" customHeight="1">
      <c r="G444" s="58"/>
    </row>
    <row r="445" ht="15.75" customHeight="1">
      <c r="G445" s="58"/>
    </row>
    <row r="446" ht="15.75" customHeight="1">
      <c r="G446" s="58"/>
    </row>
    <row r="447" ht="15.75" customHeight="1">
      <c r="G447" s="58"/>
    </row>
    <row r="448" ht="15.75" customHeight="1">
      <c r="G448" s="58"/>
    </row>
    <row r="449" ht="15.75" customHeight="1">
      <c r="G449" s="58"/>
    </row>
    <row r="450" ht="15.75" customHeight="1">
      <c r="G450" s="58"/>
    </row>
    <row r="451" ht="15.75" customHeight="1">
      <c r="G451" s="58"/>
    </row>
    <row r="452" ht="15.75" customHeight="1">
      <c r="G452" s="58"/>
    </row>
    <row r="453" ht="15.75" customHeight="1">
      <c r="G453" s="58"/>
    </row>
    <row r="454" ht="15.75" customHeight="1">
      <c r="G454" s="58"/>
    </row>
    <row r="455" ht="15.75" customHeight="1">
      <c r="G455" s="58"/>
    </row>
    <row r="456" ht="15.75" customHeight="1">
      <c r="G456" s="58"/>
    </row>
    <row r="457" ht="15.75" customHeight="1">
      <c r="G457" s="58"/>
    </row>
    <row r="458" ht="15.75" customHeight="1">
      <c r="G458" s="58"/>
    </row>
    <row r="459" ht="15.75" customHeight="1">
      <c r="G459" s="58"/>
    </row>
    <row r="460" ht="15.75" customHeight="1">
      <c r="G460" s="58"/>
    </row>
    <row r="461" ht="15.75" customHeight="1">
      <c r="G461" s="58"/>
    </row>
    <row r="462" ht="15.75" customHeight="1">
      <c r="G462" s="58"/>
    </row>
    <row r="463" ht="15.75" customHeight="1">
      <c r="G463" s="58"/>
    </row>
    <row r="464" ht="15.75" customHeight="1">
      <c r="G464" s="58"/>
    </row>
    <row r="465" ht="15.75" customHeight="1">
      <c r="G465" s="58"/>
    </row>
    <row r="466" ht="15.75" customHeight="1">
      <c r="G466" s="58"/>
    </row>
    <row r="467" ht="15.75" customHeight="1">
      <c r="G467" s="58"/>
    </row>
    <row r="468" ht="15.75" customHeight="1">
      <c r="G468" s="58"/>
    </row>
    <row r="469" ht="15.75" customHeight="1">
      <c r="G469" s="58"/>
    </row>
    <row r="470" ht="15.75" customHeight="1">
      <c r="G470" s="58"/>
    </row>
    <row r="471" ht="15.75" customHeight="1">
      <c r="G471" s="58"/>
    </row>
    <row r="472" ht="15.75" customHeight="1">
      <c r="G472" s="58"/>
    </row>
    <row r="473" ht="15.75" customHeight="1">
      <c r="G473" s="58"/>
    </row>
    <row r="474" ht="15.75" customHeight="1">
      <c r="G474" s="58"/>
    </row>
    <row r="475" ht="15.75" customHeight="1">
      <c r="G475" s="58"/>
    </row>
    <row r="476" ht="15.75" customHeight="1">
      <c r="G476" s="58"/>
    </row>
    <row r="477" ht="15.75" customHeight="1">
      <c r="G477" s="58"/>
    </row>
    <row r="478" ht="15.75" customHeight="1">
      <c r="G478" s="58"/>
    </row>
    <row r="479" ht="15.75" customHeight="1">
      <c r="G479" s="58"/>
    </row>
    <row r="480" ht="15.75" customHeight="1">
      <c r="G480" s="58"/>
    </row>
    <row r="481" ht="15.75" customHeight="1">
      <c r="G481" s="58"/>
    </row>
    <row r="482" ht="15.75" customHeight="1">
      <c r="G482" s="58"/>
    </row>
    <row r="483" ht="15.75" customHeight="1">
      <c r="G483" s="58"/>
    </row>
    <row r="484" ht="15.75" customHeight="1">
      <c r="G484" s="58"/>
    </row>
    <row r="485" ht="15.75" customHeight="1">
      <c r="G485" s="58"/>
    </row>
    <row r="486" ht="15.75" customHeight="1">
      <c r="G486" s="58"/>
    </row>
    <row r="487" ht="15.75" customHeight="1">
      <c r="G487" s="58"/>
    </row>
    <row r="488" ht="15.75" customHeight="1">
      <c r="G488" s="58"/>
    </row>
    <row r="489" ht="15.75" customHeight="1">
      <c r="G489" s="58"/>
    </row>
    <row r="490" ht="15.75" customHeight="1">
      <c r="G490" s="58"/>
    </row>
    <row r="491" ht="15.75" customHeight="1">
      <c r="G491" s="58"/>
    </row>
    <row r="492" ht="15.75" customHeight="1">
      <c r="G492" s="58"/>
    </row>
    <row r="493" ht="15.75" customHeight="1">
      <c r="G493" s="58"/>
    </row>
    <row r="494" ht="15.75" customHeight="1">
      <c r="G494" s="58"/>
    </row>
    <row r="495" ht="15.75" customHeight="1">
      <c r="G495" s="58"/>
    </row>
    <row r="496" ht="15.75" customHeight="1">
      <c r="G496" s="58"/>
    </row>
    <row r="497" ht="15.75" customHeight="1">
      <c r="G497" s="58"/>
    </row>
    <row r="498" ht="15.75" customHeight="1">
      <c r="G498" s="58"/>
    </row>
    <row r="499" ht="15.75" customHeight="1">
      <c r="G499" s="58"/>
    </row>
    <row r="500" ht="15.75" customHeight="1">
      <c r="G500" s="58"/>
    </row>
    <row r="501" ht="15.75" customHeight="1">
      <c r="G501" s="58"/>
    </row>
    <row r="502" ht="15.75" customHeight="1">
      <c r="G502" s="58"/>
    </row>
    <row r="503" ht="15.75" customHeight="1">
      <c r="G503" s="58"/>
    </row>
    <row r="504" ht="15.75" customHeight="1">
      <c r="G504" s="58"/>
    </row>
    <row r="505" ht="15.75" customHeight="1">
      <c r="G505" s="58"/>
    </row>
    <row r="506" ht="15.75" customHeight="1">
      <c r="G506" s="58"/>
    </row>
    <row r="507" ht="15.75" customHeight="1">
      <c r="G507" s="58"/>
    </row>
    <row r="508" ht="15.75" customHeight="1">
      <c r="G508" s="58"/>
    </row>
    <row r="509" ht="15.75" customHeight="1">
      <c r="G509" s="58"/>
    </row>
    <row r="510" ht="15.75" customHeight="1">
      <c r="G510" s="58"/>
    </row>
    <row r="511" ht="15.75" customHeight="1">
      <c r="G511" s="58"/>
    </row>
    <row r="512" ht="15.75" customHeight="1">
      <c r="G512" s="58"/>
    </row>
    <row r="513" ht="15.75" customHeight="1">
      <c r="G513" s="58"/>
    </row>
    <row r="514" ht="15.75" customHeight="1">
      <c r="G514" s="58"/>
    </row>
    <row r="515" ht="15.75" customHeight="1">
      <c r="G515" s="58"/>
    </row>
    <row r="516" ht="15.75" customHeight="1">
      <c r="G516" s="58"/>
    </row>
    <row r="517" ht="15.75" customHeight="1">
      <c r="G517" s="58"/>
    </row>
    <row r="518" ht="15.75" customHeight="1">
      <c r="G518" s="58"/>
    </row>
    <row r="519" ht="15.75" customHeight="1">
      <c r="G519" s="58"/>
    </row>
    <row r="520" ht="15.75" customHeight="1">
      <c r="G520" s="58"/>
    </row>
    <row r="521" ht="15.75" customHeight="1">
      <c r="G521" s="58"/>
    </row>
    <row r="522" ht="15.75" customHeight="1">
      <c r="G522" s="58"/>
    </row>
    <row r="523" ht="15.75" customHeight="1">
      <c r="G523" s="58"/>
    </row>
    <row r="524" ht="15.75" customHeight="1">
      <c r="G524" s="58"/>
    </row>
    <row r="525" ht="15.75" customHeight="1">
      <c r="G525" s="58"/>
    </row>
    <row r="526" ht="15.75" customHeight="1">
      <c r="G526" s="58"/>
    </row>
    <row r="527" ht="15.75" customHeight="1">
      <c r="G527" s="58"/>
    </row>
    <row r="528" ht="15.75" customHeight="1">
      <c r="G528" s="58"/>
    </row>
    <row r="529" ht="15.75" customHeight="1">
      <c r="G529" s="58"/>
    </row>
    <row r="530" ht="15.75" customHeight="1">
      <c r="G530" s="58"/>
    </row>
    <row r="531" ht="15.75" customHeight="1">
      <c r="G531" s="58"/>
    </row>
    <row r="532" ht="15.75" customHeight="1">
      <c r="G532" s="58"/>
    </row>
    <row r="533" ht="15.75" customHeight="1">
      <c r="G533" s="58"/>
    </row>
    <row r="534" ht="15.75" customHeight="1">
      <c r="G534" s="58"/>
    </row>
    <row r="535" ht="15.75" customHeight="1">
      <c r="G535" s="58"/>
    </row>
    <row r="536" ht="15.75" customHeight="1">
      <c r="G536" s="58"/>
    </row>
    <row r="537" ht="15.75" customHeight="1">
      <c r="G537" s="58"/>
    </row>
    <row r="538" ht="15.75" customHeight="1">
      <c r="G538" s="58"/>
    </row>
    <row r="539" ht="15.75" customHeight="1">
      <c r="G539" s="58"/>
    </row>
    <row r="540" ht="15.75" customHeight="1">
      <c r="G540" s="58"/>
    </row>
    <row r="541" ht="15.75" customHeight="1">
      <c r="G541" s="58"/>
    </row>
    <row r="542" ht="15.75" customHeight="1">
      <c r="G542" s="58"/>
    </row>
    <row r="543" ht="15.75" customHeight="1">
      <c r="G543" s="58"/>
    </row>
    <row r="544" ht="15.75" customHeight="1">
      <c r="G544" s="58"/>
    </row>
    <row r="545" ht="15.75" customHeight="1">
      <c r="G545" s="58"/>
    </row>
    <row r="546" ht="15.75" customHeight="1">
      <c r="G546" s="58"/>
    </row>
    <row r="547" ht="15.75" customHeight="1">
      <c r="G547" s="58"/>
    </row>
    <row r="548" ht="15.75" customHeight="1">
      <c r="G548" s="58"/>
    </row>
    <row r="549" ht="15.75" customHeight="1">
      <c r="G549" s="58"/>
    </row>
    <row r="550" ht="15.75" customHeight="1">
      <c r="G550" s="58"/>
    </row>
    <row r="551" ht="15.75" customHeight="1">
      <c r="G551" s="58"/>
    </row>
    <row r="552" ht="15.75" customHeight="1">
      <c r="G552" s="58"/>
    </row>
    <row r="553" ht="15.75" customHeight="1">
      <c r="G553" s="58"/>
    </row>
    <row r="554" ht="15.75" customHeight="1">
      <c r="G554" s="58"/>
    </row>
    <row r="555" ht="15.75" customHeight="1">
      <c r="G555" s="58"/>
    </row>
    <row r="556" ht="15.75" customHeight="1">
      <c r="G556" s="58"/>
    </row>
    <row r="557" ht="15.75" customHeight="1">
      <c r="G557" s="58"/>
    </row>
    <row r="558" ht="15.75" customHeight="1">
      <c r="G558" s="58"/>
    </row>
    <row r="559" ht="15.75" customHeight="1">
      <c r="G559" s="58"/>
    </row>
    <row r="560" ht="15.75" customHeight="1">
      <c r="G560" s="58"/>
    </row>
    <row r="561" ht="15.75" customHeight="1">
      <c r="G561" s="58"/>
    </row>
    <row r="562" ht="15.75" customHeight="1">
      <c r="G562" s="58"/>
    </row>
    <row r="563" ht="15.75" customHeight="1">
      <c r="G563" s="58"/>
    </row>
    <row r="564" ht="15.75" customHeight="1">
      <c r="G564" s="58"/>
    </row>
    <row r="565" ht="15.75" customHeight="1">
      <c r="G565" s="58"/>
    </row>
    <row r="566" ht="15.75" customHeight="1">
      <c r="G566" s="58"/>
    </row>
    <row r="567" ht="15.75" customHeight="1">
      <c r="G567" s="58"/>
    </row>
    <row r="568" ht="15.75" customHeight="1">
      <c r="G568" s="58"/>
    </row>
    <row r="569" ht="15.75" customHeight="1">
      <c r="G569" s="58"/>
    </row>
    <row r="570" ht="15.75" customHeight="1">
      <c r="G570" s="58"/>
    </row>
    <row r="571" ht="15.75" customHeight="1">
      <c r="G571" s="58"/>
    </row>
    <row r="572" ht="15.75" customHeight="1">
      <c r="G572" s="58"/>
    </row>
    <row r="573" ht="15.75" customHeight="1">
      <c r="G573" s="58"/>
    </row>
    <row r="574" ht="15.75" customHeight="1">
      <c r="G574" s="58"/>
    </row>
    <row r="575" ht="15.75" customHeight="1">
      <c r="G575" s="58"/>
    </row>
    <row r="576" ht="15.75" customHeight="1">
      <c r="G576" s="58"/>
    </row>
    <row r="577" ht="15.75" customHeight="1">
      <c r="G577" s="58"/>
    </row>
    <row r="578" ht="15.75" customHeight="1">
      <c r="G578" s="58"/>
    </row>
    <row r="579" ht="15.75" customHeight="1">
      <c r="G579" s="58"/>
    </row>
    <row r="580" ht="15.75" customHeight="1">
      <c r="G580" s="58"/>
    </row>
    <row r="581" ht="15.75" customHeight="1">
      <c r="G581" s="58"/>
    </row>
    <row r="582" ht="15.75" customHeight="1">
      <c r="G582" s="58"/>
    </row>
    <row r="583" ht="15.75" customHeight="1">
      <c r="G583" s="58"/>
    </row>
    <row r="584" ht="15.75" customHeight="1">
      <c r="G584" s="58"/>
    </row>
    <row r="585" ht="15.75" customHeight="1">
      <c r="G585" s="58"/>
    </row>
    <row r="586" ht="15.75" customHeight="1">
      <c r="G586" s="58"/>
    </row>
    <row r="587" ht="15.75" customHeight="1">
      <c r="G587" s="58"/>
    </row>
    <row r="588" ht="15.75" customHeight="1">
      <c r="G588" s="58"/>
    </row>
    <row r="589" ht="15.75" customHeight="1">
      <c r="G589" s="58"/>
    </row>
    <row r="590" ht="15.75" customHeight="1">
      <c r="G590" s="58"/>
    </row>
    <row r="591" ht="15.75" customHeight="1">
      <c r="G591" s="58"/>
    </row>
    <row r="592" ht="15.75" customHeight="1">
      <c r="G592" s="58"/>
    </row>
    <row r="593" ht="15.75" customHeight="1">
      <c r="G593" s="58"/>
    </row>
    <row r="594" ht="15.75" customHeight="1">
      <c r="G594" s="58"/>
    </row>
    <row r="595" ht="15.75" customHeight="1">
      <c r="G595" s="58"/>
    </row>
    <row r="596" ht="15.75" customHeight="1">
      <c r="G596" s="58"/>
    </row>
    <row r="597" ht="15.75" customHeight="1">
      <c r="G597" s="58"/>
    </row>
    <row r="598" ht="15.75" customHeight="1">
      <c r="G598" s="58"/>
    </row>
    <row r="599" ht="15.75" customHeight="1">
      <c r="G599" s="58"/>
    </row>
    <row r="600" ht="15.75" customHeight="1">
      <c r="G600" s="58"/>
    </row>
    <row r="601" ht="15.75" customHeight="1">
      <c r="G601" s="58"/>
    </row>
    <row r="602" ht="15.75" customHeight="1">
      <c r="G602" s="58"/>
    </row>
    <row r="603" ht="15.75" customHeight="1">
      <c r="G603" s="58"/>
    </row>
    <row r="604" ht="15.75" customHeight="1">
      <c r="G604" s="58"/>
    </row>
    <row r="605" ht="15.75" customHeight="1">
      <c r="G605" s="58"/>
    </row>
    <row r="606" ht="15.75" customHeight="1">
      <c r="G606" s="58"/>
    </row>
    <row r="607" ht="15.75" customHeight="1">
      <c r="G607" s="58"/>
    </row>
    <row r="608" ht="15.75" customHeight="1">
      <c r="G608" s="58"/>
    </row>
    <row r="609" ht="15.75" customHeight="1">
      <c r="G609" s="58"/>
    </row>
    <row r="610" ht="15.75" customHeight="1">
      <c r="G610" s="58"/>
    </row>
    <row r="611" ht="15.75" customHeight="1">
      <c r="G611" s="58"/>
    </row>
    <row r="612" ht="15.75" customHeight="1">
      <c r="G612" s="58"/>
    </row>
    <row r="613" ht="15.75" customHeight="1">
      <c r="G613" s="58"/>
    </row>
    <row r="614" ht="15.75" customHeight="1">
      <c r="G614" s="58"/>
    </row>
    <row r="615" ht="15.75" customHeight="1">
      <c r="G615" s="58"/>
    </row>
    <row r="616" ht="15.75" customHeight="1">
      <c r="G616" s="58"/>
    </row>
    <row r="617" ht="15.75" customHeight="1">
      <c r="G617" s="58"/>
    </row>
    <row r="618" ht="15.75" customHeight="1">
      <c r="G618" s="58"/>
    </row>
    <row r="619" ht="15.75" customHeight="1">
      <c r="G619" s="58"/>
    </row>
    <row r="620" ht="15.75" customHeight="1">
      <c r="G620" s="58"/>
    </row>
    <row r="621" ht="15.75" customHeight="1">
      <c r="G621" s="58"/>
    </row>
    <row r="622" ht="15.75" customHeight="1">
      <c r="G622" s="58"/>
    </row>
    <row r="623" ht="15.75" customHeight="1">
      <c r="G623" s="58"/>
    </row>
    <row r="624" ht="15.75" customHeight="1">
      <c r="G624" s="58"/>
    </row>
    <row r="625" ht="15.75" customHeight="1">
      <c r="G625" s="58"/>
    </row>
    <row r="626" ht="15.75" customHeight="1">
      <c r="G626" s="58"/>
    </row>
    <row r="627" ht="15.75" customHeight="1">
      <c r="G627" s="58"/>
    </row>
    <row r="628" ht="15.75" customHeight="1">
      <c r="G628" s="58"/>
    </row>
    <row r="629" ht="15.75" customHeight="1">
      <c r="G629" s="58"/>
    </row>
    <row r="630" ht="15.75" customHeight="1">
      <c r="G630" s="58"/>
    </row>
    <row r="631" ht="15.75" customHeight="1">
      <c r="G631" s="58"/>
    </row>
    <row r="632" ht="15.75" customHeight="1">
      <c r="G632" s="58"/>
    </row>
    <row r="633" ht="15.75" customHeight="1">
      <c r="G633" s="58"/>
    </row>
    <row r="634" ht="15.75" customHeight="1">
      <c r="G634" s="58"/>
    </row>
    <row r="635" ht="15.75" customHeight="1">
      <c r="G635" s="58"/>
    </row>
    <row r="636" ht="15.75" customHeight="1">
      <c r="G636" s="58"/>
    </row>
    <row r="637" ht="15.75" customHeight="1">
      <c r="G637" s="58"/>
    </row>
    <row r="638" ht="15.75" customHeight="1">
      <c r="G638" s="58"/>
    </row>
    <row r="639" ht="15.75" customHeight="1">
      <c r="G639" s="58"/>
    </row>
    <row r="640" ht="15.75" customHeight="1">
      <c r="G640" s="58"/>
    </row>
    <row r="641" ht="15.75" customHeight="1">
      <c r="G641" s="58"/>
    </row>
    <row r="642" ht="15.75" customHeight="1">
      <c r="G642" s="58"/>
    </row>
    <row r="643" ht="15.75" customHeight="1">
      <c r="G643" s="58"/>
    </row>
    <row r="644" ht="15.75" customHeight="1">
      <c r="G644" s="58"/>
    </row>
    <row r="645" ht="15.75" customHeight="1">
      <c r="G645" s="58"/>
    </row>
    <row r="646" ht="15.75" customHeight="1">
      <c r="G646" s="58"/>
    </row>
    <row r="647" ht="15.75" customHeight="1">
      <c r="G647" s="58"/>
    </row>
    <row r="648" ht="15.75" customHeight="1">
      <c r="G648" s="58"/>
    </row>
    <row r="649" ht="15.75" customHeight="1">
      <c r="G649" s="58"/>
    </row>
    <row r="650" ht="15.75" customHeight="1">
      <c r="G650" s="58"/>
    </row>
    <row r="651" ht="15.75" customHeight="1">
      <c r="G651" s="58"/>
    </row>
    <row r="652" ht="15.75" customHeight="1">
      <c r="G652" s="58"/>
    </row>
    <row r="653" ht="15.75" customHeight="1">
      <c r="G653" s="58"/>
    </row>
    <row r="654" ht="15.75" customHeight="1">
      <c r="G654" s="58"/>
    </row>
    <row r="655" ht="15.75" customHeight="1">
      <c r="G655" s="58"/>
    </row>
    <row r="656" ht="15.75" customHeight="1">
      <c r="G656" s="58"/>
    </row>
    <row r="657" ht="15.75" customHeight="1">
      <c r="G657" s="58"/>
    </row>
    <row r="658" ht="15.75" customHeight="1">
      <c r="G658" s="58"/>
    </row>
    <row r="659" ht="15.75" customHeight="1">
      <c r="G659" s="58"/>
    </row>
    <row r="660" ht="15.75" customHeight="1">
      <c r="G660" s="58"/>
    </row>
    <row r="661" ht="15.75" customHeight="1">
      <c r="G661" s="58"/>
    </row>
    <row r="662" ht="15.75" customHeight="1">
      <c r="G662" s="58"/>
    </row>
    <row r="663" ht="15.75" customHeight="1">
      <c r="G663" s="58"/>
    </row>
    <row r="664" ht="15.75" customHeight="1">
      <c r="G664" s="58"/>
    </row>
    <row r="665" ht="15.75" customHeight="1">
      <c r="G665" s="58"/>
    </row>
    <row r="666" ht="15.75" customHeight="1">
      <c r="G666" s="58"/>
    </row>
    <row r="667" ht="15.75" customHeight="1">
      <c r="G667" s="58"/>
    </row>
    <row r="668" ht="15.75" customHeight="1">
      <c r="G668" s="58"/>
    </row>
    <row r="669" ht="15.75" customHeight="1">
      <c r="G669" s="58"/>
    </row>
    <row r="670" ht="15.75" customHeight="1">
      <c r="G670" s="58"/>
    </row>
    <row r="671" ht="15.75" customHeight="1">
      <c r="G671" s="58"/>
    </row>
    <row r="672" ht="15.75" customHeight="1">
      <c r="G672" s="58"/>
    </row>
    <row r="673" ht="15.75" customHeight="1">
      <c r="G673" s="58"/>
    </row>
    <row r="674" ht="15.75" customHeight="1">
      <c r="G674" s="58"/>
    </row>
    <row r="675" ht="15.75" customHeight="1">
      <c r="G675" s="58"/>
    </row>
    <row r="676" ht="15.75" customHeight="1">
      <c r="G676" s="58"/>
    </row>
    <row r="677" ht="15.75" customHeight="1">
      <c r="G677" s="58"/>
    </row>
    <row r="678" ht="15.75" customHeight="1">
      <c r="G678" s="58"/>
    </row>
    <row r="679" ht="15.75" customHeight="1">
      <c r="G679" s="58"/>
    </row>
    <row r="680" ht="15.75" customHeight="1">
      <c r="G680" s="58"/>
    </row>
    <row r="681" ht="15.75" customHeight="1">
      <c r="G681" s="58"/>
    </row>
    <row r="682" ht="15.75" customHeight="1">
      <c r="G682" s="58"/>
    </row>
    <row r="683" ht="15.75" customHeight="1">
      <c r="G683" s="58"/>
    </row>
    <row r="684" ht="15.75" customHeight="1">
      <c r="G684" s="58"/>
    </row>
    <row r="685" ht="15.75" customHeight="1">
      <c r="G685" s="58"/>
    </row>
    <row r="686" ht="15.75" customHeight="1">
      <c r="G686" s="58"/>
    </row>
    <row r="687" ht="15.75" customHeight="1">
      <c r="G687" s="58"/>
    </row>
    <row r="688" ht="15.75" customHeight="1">
      <c r="G688" s="58"/>
    </row>
    <row r="689" ht="15.75" customHeight="1">
      <c r="G689" s="58"/>
    </row>
    <row r="690" ht="15.75" customHeight="1">
      <c r="G690" s="58"/>
    </row>
    <row r="691" ht="15.75" customHeight="1">
      <c r="G691" s="58"/>
    </row>
    <row r="692" ht="15.75" customHeight="1">
      <c r="G692" s="58"/>
    </row>
    <row r="693" ht="15.75" customHeight="1">
      <c r="G693" s="58"/>
    </row>
    <row r="694" ht="15.75" customHeight="1">
      <c r="G694" s="58"/>
    </row>
    <row r="695" ht="15.75" customHeight="1">
      <c r="G695" s="58"/>
    </row>
    <row r="696" ht="15.75" customHeight="1">
      <c r="G696" s="58"/>
    </row>
    <row r="697" ht="15.75" customHeight="1">
      <c r="G697" s="58"/>
    </row>
    <row r="698" ht="15.75" customHeight="1">
      <c r="G698" s="58"/>
    </row>
    <row r="699" ht="15.75" customHeight="1">
      <c r="G699" s="58"/>
    </row>
    <row r="700" ht="15.75" customHeight="1">
      <c r="G700" s="58"/>
    </row>
    <row r="701" ht="15.75" customHeight="1">
      <c r="G701" s="58"/>
    </row>
    <row r="702" ht="15.75" customHeight="1">
      <c r="G702" s="58"/>
    </row>
    <row r="703" ht="15.75" customHeight="1">
      <c r="G703" s="58"/>
    </row>
    <row r="704" ht="15.75" customHeight="1">
      <c r="G704" s="58"/>
    </row>
    <row r="705" ht="15.75" customHeight="1">
      <c r="G705" s="58"/>
    </row>
    <row r="706" ht="15.75" customHeight="1">
      <c r="G706" s="58"/>
    </row>
    <row r="707" ht="15.75" customHeight="1">
      <c r="G707" s="58"/>
    </row>
    <row r="708" ht="15.75" customHeight="1">
      <c r="G708" s="58"/>
    </row>
    <row r="709" ht="15.75" customHeight="1">
      <c r="G709" s="58"/>
    </row>
    <row r="710" ht="15.75" customHeight="1">
      <c r="G710" s="58"/>
    </row>
    <row r="711" ht="15.75" customHeight="1">
      <c r="G711" s="58"/>
    </row>
    <row r="712" ht="15.75" customHeight="1">
      <c r="G712" s="58"/>
    </row>
    <row r="713" ht="15.75" customHeight="1">
      <c r="G713" s="58"/>
    </row>
    <row r="714" ht="15.75" customHeight="1">
      <c r="G714" s="58"/>
    </row>
    <row r="715" ht="15.75" customHeight="1">
      <c r="G715" s="58"/>
    </row>
    <row r="716" ht="15.75" customHeight="1">
      <c r="G716" s="58"/>
    </row>
    <row r="717" ht="15.75" customHeight="1">
      <c r="G717" s="58"/>
    </row>
    <row r="718" ht="15.75" customHeight="1">
      <c r="G718" s="58"/>
    </row>
    <row r="719" ht="15.75" customHeight="1">
      <c r="G719" s="58"/>
    </row>
    <row r="720" ht="15.75" customHeight="1">
      <c r="G720" s="58"/>
    </row>
    <row r="721" ht="15.75" customHeight="1">
      <c r="G721" s="58"/>
    </row>
    <row r="722" ht="15.75" customHeight="1">
      <c r="G722" s="58"/>
    </row>
    <row r="723" ht="15.75" customHeight="1">
      <c r="G723" s="58"/>
    </row>
    <row r="724" ht="15.75" customHeight="1">
      <c r="G724" s="58"/>
    </row>
    <row r="725" ht="15.75" customHeight="1">
      <c r="G725" s="58"/>
    </row>
    <row r="726" ht="15.75" customHeight="1">
      <c r="G726" s="58"/>
    </row>
    <row r="727" ht="15.75" customHeight="1">
      <c r="G727" s="58"/>
    </row>
    <row r="728" ht="15.75" customHeight="1">
      <c r="G728" s="58"/>
    </row>
    <row r="729" ht="15.75" customHeight="1">
      <c r="G729" s="58"/>
    </row>
    <row r="730" ht="15.75" customHeight="1">
      <c r="G730" s="58"/>
    </row>
    <row r="731" ht="15.75" customHeight="1">
      <c r="G731" s="58"/>
    </row>
    <row r="732" ht="15.75" customHeight="1">
      <c r="G732" s="58"/>
    </row>
    <row r="733" ht="15.75" customHeight="1">
      <c r="G733" s="58"/>
    </row>
    <row r="734" ht="15.75" customHeight="1">
      <c r="G734" s="58"/>
    </row>
    <row r="735" ht="15.75" customHeight="1">
      <c r="G735" s="58"/>
    </row>
    <row r="736" ht="15.75" customHeight="1">
      <c r="G736" s="58"/>
    </row>
    <row r="737" ht="15.75" customHeight="1">
      <c r="G737" s="58"/>
    </row>
    <row r="738" ht="15.75" customHeight="1">
      <c r="G738" s="58"/>
    </row>
    <row r="739" ht="15.75" customHeight="1">
      <c r="G739" s="58"/>
    </row>
    <row r="740" ht="15.75" customHeight="1">
      <c r="G740" s="58"/>
    </row>
    <row r="741" ht="15.75" customHeight="1">
      <c r="G741" s="58"/>
    </row>
    <row r="742" ht="15.75" customHeight="1">
      <c r="G742" s="58"/>
    </row>
    <row r="743" ht="15.75" customHeight="1">
      <c r="G743" s="58"/>
    </row>
    <row r="744" ht="15.75" customHeight="1">
      <c r="G744" s="58"/>
    </row>
    <row r="745" ht="15.75" customHeight="1">
      <c r="G745" s="58"/>
    </row>
    <row r="746" ht="15.75" customHeight="1">
      <c r="G746" s="58"/>
    </row>
    <row r="747" ht="15.75" customHeight="1">
      <c r="G747" s="58"/>
    </row>
    <row r="748" ht="15.75" customHeight="1">
      <c r="G748" s="58"/>
    </row>
    <row r="749" ht="15.75" customHeight="1">
      <c r="G749" s="58"/>
    </row>
    <row r="750" ht="15.75" customHeight="1">
      <c r="G750" s="58"/>
    </row>
    <row r="751" ht="15.75" customHeight="1">
      <c r="G751" s="58"/>
    </row>
    <row r="752" ht="15.75" customHeight="1">
      <c r="G752" s="58"/>
    </row>
    <row r="753" ht="15.75" customHeight="1">
      <c r="G753" s="58"/>
    </row>
    <row r="754" ht="15.75" customHeight="1">
      <c r="G754" s="58"/>
    </row>
    <row r="755" ht="15.75" customHeight="1">
      <c r="G755" s="58"/>
    </row>
    <row r="756" ht="15.75" customHeight="1">
      <c r="G756" s="58"/>
    </row>
    <row r="757" ht="15.75" customHeight="1">
      <c r="G757" s="58"/>
    </row>
    <row r="758" ht="15.75" customHeight="1">
      <c r="G758" s="58"/>
    </row>
    <row r="759" ht="15.75" customHeight="1">
      <c r="G759" s="58"/>
    </row>
    <row r="760" ht="15.75" customHeight="1">
      <c r="G760" s="58"/>
    </row>
    <row r="761" ht="15.75" customHeight="1">
      <c r="G761" s="58"/>
    </row>
    <row r="762" ht="15.75" customHeight="1">
      <c r="G762" s="58"/>
    </row>
    <row r="763" ht="15.75" customHeight="1">
      <c r="G763" s="58"/>
    </row>
    <row r="764" ht="15.75" customHeight="1">
      <c r="G764" s="58"/>
    </row>
    <row r="765" ht="15.75" customHeight="1">
      <c r="G765" s="58"/>
    </row>
    <row r="766" ht="15.75" customHeight="1">
      <c r="G766" s="58"/>
    </row>
    <row r="767" ht="15.75" customHeight="1">
      <c r="G767" s="58"/>
    </row>
    <row r="768" ht="15.75" customHeight="1">
      <c r="G768" s="58"/>
    </row>
    <row r="769" ht="15.75" customHeight="1">
      <c r="G769" s="58"/>
    </row>
    <row r="770" ht="15.75" customHeight="1">
      <c r="G770" s="58"/>
    </row>
    <row r="771" ht="15.75" customHeight="1">
      <c r="G771" s="58"/>
    </row>
    <row r="772" ht="15.75" customHeight="1">
      <c r="G772" s="58"/>
    </row>
    <row r="773" ht="15.75" customHeight="1">
      <c r="G773" s="58"/>
    </row>
    <row r="774" ht="15.75" customHeight="1">
      <c r="G774" s="58"/>
    </row>
    <row r="775" ht="15.75" customHeight="1">
      <c r="G775" s="58"/>
    </row>
    <row r="776" ht="15.75" customHeight="1">
      <c r="G776" s="58"/>
    </row>
    <row r="777" ht="15.75" customHeight="1">
      <c r="G777" s="58"/>
    </row>
    <row r="778" ht="15.75" customHeight="1">
      <c r="G778" s="58"/>
    </row>
    <row r="779" ht="15.75" customHeight="1">
      <c r="G779" s="58"/>
    </row>
    <row r="780" ht="15.75" customHeight="1">
      <c r="G780" s="58"/>
    </row>
    <row r="781" ht="15.75" customHeight="1">
      <c r="G781" s="58"/>
    </row>
    <row r="782" ht="15.75" customHeight="1">
      <c r="G782" s="58"/>
    </row>
    <row r="783" ht="15.75" customHeight="1">
      <c r="G783" s="58"/>
    </row>
    <row r="784" ht="15.75" customHeight="1">
      <c r="G784" s="58"/>
    </row>
    <row r="785" ht="15.75" customHeight="1">
      <c r="G785" s="58"/>
    </row>
    <row r="786" ht="15.75" customHeight="1">
      <c r="G786" s="58"/>
    </row>
    <row r="787" ht="15.75" customHeight="1">
      <c r="G787" s="58"/>
    </row>
    <row r="788" ht="15.75" customHeight="1">
      <c r="G788" s="58"/>
    </row>
    <row r="789" ht="15.75" customHeight="1">
      <c r="G789" s="58"/>
    </row>
    <row r="790" ht="15.75" customHeight="1">
      <c r="G790" s="58"/>
    </row>
    <row r="791" ht="15.75" customHeight="1">
      <c r="G791" s="58"/>
    </row>
    <row r="792" ht="15.75" customHeight="1">
      <c r="G792" s="58"/>
    </row>
    <row r="793" ht="15.75" customHeight="1">
      <c r="G793" s="58"/>
    </row>
    <row r="794" ht="15.75" customHeight="1">
      <c r="G794" s="58"/>
    </row>
    <row r="795" ht="15.75" customHeight="1">
      <c r="G795" s="58"/>
    </row>
    <row r="796" ht="15.75" customHeight="1">
      <c r="G796" s="58"/>
    </row>
    <row r="797" ht="15.75" customHeight="1">
      <c r="G797" s="58"/>
    </row>
    <row r="798" ht="15.75" customHeight="1">
      <c r="G798" s="58"/>
    </row>
    <row r="799" ht="15.75" customHeight="1">
      <c r="G799" s="58"/>
    </row>
    <row r="800" ht="15.75" customHeight="1">
      <c r="G800" s="58"/>
    </row>
    <row r="801" ht="15.75" customHeight="1">
      <c r="G801" s="58"/>
    </row>
    <row r="802" ht="15.75" customHeight="1">
      <c r="G802" s="58"/>
    </row>
    <row r="803" ht="15.75" customHeight="1">
      <c r="G803" s="58"/>
    </row>
    <row r="804" ht="15.75" customHeight="1">
      <c r="G804" s="58"/>
    </row>
    <row r="805" ht="15.75" customHeight="1">
      <c r="G805" s="58"/>
    </row>
    <row r="806" ht="15.75" customHeight="1">
      <c r="G806" s="58"/>
    </row>
    <row r="807" ht="15.75" customHeight="1">
      <c r="G807" s="58"/>
    </row>
    <row r="808" ht="15.75" customHeight="1">
      <c r="G808" s="58"/>
    </row>
    <row r="809" ht="15.75" customHeight="1">
      <c r="G809" s="58"/>
    </row>
    <row r="810" ht="15.75" customHeight="1">
      <c r="G810" s="58"/>
    </row>
    <row r="811" ht="15.75" customHeight="1">
      <c r="G811" s="58"/>
    </row>
    <row r="812" ht="15.75" customHeight="1">
      <c r="G812" s="58"/>
    </row>
    <row r="813" ht="15.75" customHeight="1">
      <c r="G813" s="58"/>
    </row>
    <row r="814" ht="15.75" customHeight="1">
      <c r="G814" s="58"/>
    </row>
    <row r="815" ht="15.75" customHeight="1">
      <c r="G815" s="58"/>
    </row>
    <row r="816" ht="15.75" customHeight="1">
      <c r="G816" s="58"/>
    </row>
    <row r="817" ht="15.75" customHeight="1">
      <c r="G817" s="58"/>
    </row>
    <row r="818" ht="15.75" customHeight="1">
      <c r="G818" s="58"/>
    </row>
    <row r="819" ht="15.75" customHeight="1">
      <c r="G819" s="58"/>
    </row>
    <row r="820" ht="15.75" customHeight="1">
      <c r="G820" s="58"/>
    </row>
    <row r="821" ht="15.75" customHeight="1">
      <c r="G821" s="58"/>
    </row>
    <row r="822" ht="15.75" customHeight="1">
      <c r="G822" s="58"/>
    </row>
    <row r="823" ht="15.75" customHeight="1">
      <c r="G823" s="58"/>
    </row>
    <row r="824" ht="15.75" customHeight="1">
      <c r="G824" s="58"/>
    </row>
    <row r="825" ht="15.75" customHeight="1">
      <c r="G825" s="58"/>
    </row>
    <row r="826" ht="15.75" customHeight="1">
      <c r="G826" s="58"/>
    </row>
    <row r="827" ht="15.75" customHeight="1">
      <c r="G827" s="58"/>
    </row>
    <row r="828" ht="15.75" customHeight="1">
      <c r="G828" s="58"/>
    </row>
    <row r="829" ht="15.75" customHeight="1">
      <c r="G829" s="58"/>
    </row>
    <row r="830" ht="15.75" customHeight="1">
      <c r="G830" s="58"/>
    </row>
    <row r="831" ht="15.75" customHeight="1">
      <c r="G831" s="58"/>
    </row>
    <row r="832" ht="15.75" customHeight="1">
      <c r="G832" s="58"/>
    </row>
    <row r="833" ht="15.75" customHeight="1">
      <c r="G833" s="58"/>
    </row>
    <row r="834" ht="15.75" customHeight="1">
      <c r="G834" s="58"/>
    </row>
    <row r="835" ht="15.75" customHeight="1">
      <c r="G835" s="58"/>
    </row>
    <row r="836" ht="15.75" customHeight="1">
      <c r="G836" s="58"/>
    </row>
    <row r="837" ht="15.75" customHeight="1">
      <c r="G837" s="58"/>
    </row>
    <row r="838" ht="15.75" customHeight="1">
      <c r="G838" s="58"/>
    </row>
    <row r="839" ht="15.75" customHeight="1">
      <c r="G839" s="58"/>
    </row>
    <row r="840" ht="15.75" customHeight="1">
      <c r="G840" s="58"/>
    </row>
    <row r="841" ht="15.75" customHeight="1">
      <c r="G841" s="58"/>
    </row>
    <row r="842" ht="15.75" customHeight="1">
      <c r="G842" s="58"/>
    </row>
    <row r="843" ht="15.75" customHeight="1">
      <c r="G843" s="58"/>
    </row>
    <row r="844" ht="15.75" customHeight="1">
      <c r="G844" s="58"/>
    </row>
    <row r="845" ht="15.75" customHeight="1">
      <c r="G845" s="58"/>
    </row>
    <row r="846" ht="15.75" customHeight="1">
      <c r="G846" s="58"/>
    </row>
    <row r="847" ht="15.75" customHeight="1">
      <c r="G847" s="58"/>
    </row>
    <row r="848" ht="15.75" customHeight="1">
      <c r="G848" s="58"/>
    </row>
    <row r="849" ht="15.75" customHeight="1">
      <c r="G849" s="58"/>
    </row>
    <row r="850" ht="15.75" customHeight="1">
      <c r="G850" s="58"/>
    </row>
    <row r="851" ht="15.75" customHeight="1">
      <c r="G851" s="58"/>
    </row>
    <row r="852" ht="15.75" customHeight="1">
      <c r="G852" s="58"/>
    </row>
    <row r="853" ht="15.75" customHeight="1">
      <c r="G853" s="58"/>
    </row>
    <row r="854" ht="15.75" customHeight="1">
      <c r="G854" s="58"/>
    </row>
    <row r="855" ht="15.75" customHeight="1">
      <c r="G855" s="58"/>
    </row>
    <row r="856" ht="15.75" customHeight="1">
      <c r="G856" s="58"/>
    </row>
    <row r="857" ht="15.75" customHeight="1">
      <c r="G857" s="58"/>
    </row>
    <row r="858" ht="15.75" customHeight="1">
      <c r="G858" s="58"/>
    </row>
    <row r="859" ht="15.75" customHeight="1">
      <c r="G859" s="58"/>
    </row>
    <row r="860" ht="15.75" customHeight="1">
      <c r="G860" s="58"/>
    </row>
    <row r="861" ht="15.75" customHeight="1">
      <c r="G861" s="58"/>
    </row>
    <row r="862" ht="15.75" customHeight="1">
      <c r="G862" s="58"/>
    </row>
    <row r="863" ht="15.75" customHeight="1">
      <c r="G863" s="58"/>
    </row>
    <row r="864" ht="15.75" customHeight="1">
      <c r="G864" s="58"/>
    </row>
    <row r="865" ht="15.75" customHeight="1">
      <c r="G865" s="58"/>
    </row>
    <row r="866" ht="15.75" customHeight="1">
      <c r="G866" s="58"/>
    </row>
    <row r="867" ht="15.75" customHeight="1">
      <c r="G867" s="58"/>
    </row>
    <row r="868" ht="15.75" customHeight="1">
      <c r="G868" s="58"/>
    </row>
    <row r="869" ht="15.75" customHeight="1">
      <c r="G869" s="58"/>
    </row>
    <row r="870" ht="15.75" customHeight="1">
      <c r="G870" s="58"/>
    </row>
    <row r="871" ht="15.75" customHeight="1">
      <c r="G871" s="58"/>
    </row>
    <row r="872" ht="15.75" customHeight="1">
      <c r="G872" s="58"/>
    </row>
    <row r="873" ht="15.75" customHeight="1">
      <c r="G873" s="58"/>
    </row>
    <row r="874" ht="15.75" customHeight="1">
      <c r="G874" s="58"/>
    </row>
    <row r="875" ht="15.75" customHeight="1">
      <c r="G875" s="58"/>
    </row>
    <row r="876" ht="15.75" customHeight="1">
      <c r="G876" s="58"/>
    </row>
    <row r="877" ht="15.75" customHeight="1">
      <c r="G877" s="58"/>
    </row>
    <row r="878" ht="15.75" customHeight="1">
      <c r="G878" s="58"/>
    </row>
    <row r="879" ht="15.75" customHeight="1">
      <c r="G879" s="58"/>
    </row>
    <row r="880" ht="15.75" customHeight="1">
      <c r="G880" s="58"/>
    </row>
    <row r="881" ht="15.75" customHeight="1">
      <c r="G881" s="58"/>
    </row>
    <row r="882" ht="15.75" customHeight="1">
      <c r="G882" s="58"/>
    </row>
    <row r="883" ht="15.75" customHeight="1">
      <c r="G883" s="58"/>
    </row>
    <row r="884" ht="15.75" customHeight="1">
      <c r="G884" s="58"/>
    </row>
    <row r="885" ht="15.75" customHeight="1">
      <c r="G885" s="58"/>
    </row>
    <row r="886" ht="15.75" customHeight="1">
      <c r="G886" s="58"/>
    </row>
    <row r="887" ht="15.75" customHeight="1">
      <c r="G887" s="58"/>
    </row>
    <row r="888" ht="15.75" customHeight="1">
      <c r="G888" s="58"/>
    </row>
    <row r="889" ht="15.75" customHeight="1">
      <c r="G889" s="58"/>
    </row>
    <row r="890" ht="15.75" customHeight="1">
      <c r="G890" s="58"/>
    </row>
    <row r="891" ht="15.75" customHeight="1">
      <c r="G891" s="58"/>
    </row>
    <row r="892" ht="15.75" customHeight="1">
      <c r="G892" s="58"/>
    </row>
    <row r="893" ht="15.75" customHeight="1">
      <c r="G893" s="58"/>
    </row>
    <row r="894" ht="15.75" customHeight="1">
      <c r="G894" s="58"/>
    </row>
    <row r="895" ht="15.75" customHeight="1">
      <c r="G895" s="58"/>
    </row>
    <row r="896" ht="15.75" customHeight="1">
      <c r="G896" s="58"/>
    </row>
    <row r="897" ht="15.75" customHeight="1">
      <c r="G897" s="58"/>
    </row>
    <row r="898" ht="15.75" customHeight="1">
      <c r="G898" s="58"/>
    </row>
    <row r="899" ht="15.75" customHeight="1">
      <c r="G899" s="58"/>
    </row>
    <row r="900" ht="15.75" customHeight="1">
      <c r="G900" s="58"/>
    </row>
    <row r="901" ht="15.75" customHeight="1">
      <c r="G901" s="58"/>
    </row>
    <row r="902" ht="15.75" customHeight="1">
      <c r="G902" s="58"/>
    </row>
    <row r="903" ht="15.75" customHeight="1">
      <c r="G903" s="58"/>
    </row>
    <row r="904" ht="15.75" customHeight="1">
      <c r="G904" s="58"/>
    </row>
    <row r="905" ht="15.75" customHeight="1">
      <c r="G905" s="58"/>
    </row>
    <row r="906" ht="15.75" customHeight="1">
      <c r="G906" s="58"/>
    </row>
    <row r="907" ht="15.75" customHeight="1">
      <c r="G907" s="58"/>
    </row>
    <row r="908" ht="15.75" customHeight="1">
      <c r="G908" s="58"/>
    </row>
    <row r="909" ht="15.75" customHeight="1">
      <c r="G909" s="58"/>
    </row>
    <row r="910" ht="15.75" customHeight="1">
      <c r="G910" s="58"/>
    </row>
    <row r="911" ht="15.75" customHeight="1">
      <c r="G911" s="58"/>
    </row>
    <row r="912" ht="15.75" customHeight="1">
      <c r="G912" s="58"/>
    </row>
    <row r="913" ht="15.75" customHeight="1">
      <c r="G913" s="58"/>
    </row>
    <row r="914" ht="15.75" customHeight="1">
      <c r="G914" s="58"/>
    </row>
    <row r="915" ht="15.75" customHeight="1">
      <c r="G915" s="58"/>
    </row>
    <row r="916" ht="15.75" customHeight="1">
      <c r="G916" s="58"/>
    </row>
    <row r="917" ht="15.75" customHeight="1">
      <c r="G917" s="58"/>
    </row>
    <row r="918" ht="15.75" customHeight="1">
      <c r="G918" s="58"/>
    </row>
    <row r="919" ht="15.75" customHeight="1">
      <c r="G919" s="58"/>
    </row>
    <row r="920" ht="15.75" customHeight="1">
      <c r="G920" s="58"/>
    </row>
    <row r="921" ht="15.75" customHeight="1">
      <c r="G921" s="58"/>
    </row>
    <row r="922" ht="15.75" customHeight="1">
      <c r="G922" s="58"/>
    </row>
    <row r="923" ht="15.75" customHeight="1">
      <c r="G923" s="58"/>
    </row>
    <row r="924" ht="15.75" customHeight="1">
      <c r="G924" s="58"/>
    </row>
    <row r="925" ht="15.75" customHeight="1">
      <c r="G925" s="58"/>
    </row>
    <row r="926" ht="15.75" customHeight="1">
      <c r="G926" s="58"/>
    </row>
    <row r="927" ht="15.75" customHeight="1">
      <c r="G927" s="58"/>
    </row>
    <row r="928" ht="15.75" customHeight="1">
      <c r="G928" s="58"/>
    </row>
    <row r="929" ht="15.75" customHeight="1">
      <c r="G929" s="58"/>
    </row>
    <row r="930" ht="15.75" customHeight="1">
      <c r="G930" s="58"/>
    </row>
    <row r="931" ht="15.75" customHeight="1">
      <c r="G931" s="58"/>
    </row>
    <row r="932" ht="15.75" customHeight="1">
      <c r="G932" s="58"/>
    </row>
    <row r="933" ht="15.75" customHeight="1">
      <c r="G933" s="58"/>
    </row>
    <row r="934" ht="15.75" customHeight="1">
      <c r="G934" s="58"/>
    </row>
    <row r="935" ht="15.75" customHeight="1">
      <c r="G935" s="58"/>
    </row>
    <row r="936" ht="15.75" customHeight="1">
      <c r="G936" s="58"/>
    </row>
    <row r="937" ht="15.75" customHeight="1">
      <c r="G937" s="58"/>
    </row>
    <row r="938" ht="15.75" customHeight="1">
      <c r="G938" s="58"/>
    </row>
    <row r="939" ht="15.75" customHeight="1">
      <c r="G939" s="58"/>
    </row>
    <row r="940" ht="15.75" customHeight="1">
      <c r="G940" s="58"/>
    </row>
    <row r="941" ht="15.75" customHeight="1">
      <c r="G941" s="58"/>
    </row>
    <row r="942" ht="15.75" customHeight="1">
      <c r="G942" s="58"/>
    </row>
    <row r="943" ht="15.75" customHeight="1">
      <c r="G943" s="58"/>
    </row>
    <row r="944" ht="15.75" customHeight="1">
      <c r="G944" s="58"/>
    </row>
    <row r="945" ht="15.75" customHeight="1">
      <c r="G945" s="58"/>
    </row>
    <row r="946" ht="15.75" customHeight="1">
      <c r="G946" s="58"/>
    </row>
    <row r="947" ht="15.75" customHeight="1">
      <c r="G947" s="58"/>
    </row>
    <row r="948" ht="15.75" customHeight="1">
      <c r="G948" s="58"/>
    </row>
    <row r="949" ht="15.75" customHeight="1">
      <c r="G949" s="58"/>
    </row>
    <row r="950" ht="15.75" customHeight="1">
      <c r="G950" s="58"/>
    </row>
    <row r="951" ht="15.75" customHeight="1">
      <c r="G951" s="58"/>
    </row>
    <row r="952" ht="15.75" customHeight="1">
      <c r="G952" s="58"/>
    </row>
    <row r="953" ht="15.75" customHeight="1">
      <c r="G953" s="58"/>
    </row>
    <row r="954" ht="15.75" customHeight="1">
      <c r="G954" s="58"/>
    </row>
    <row r="955" ht="15.75" customHeight="1">
      <c r="G955" s="58"/>
    </row>
    <row r="956" ht="15.75" customHeight="1">
      <c r="G956" s="58"/>
    </row>
    <row r="957" ht="15.75" customHeight="1">
      <c r="G957" s="58"/>
    </row>
    <row r="958" ht="15.75" customHeight="1">
      <c r="G958" s="58"/>
    </row>
    <row r="959" ht="15.75" customHeight="1">
      <c r="G959" s="58"/>
    </row>
    <row r="960" ht="15.75" customHeight="1">
      <c r="G960" s="58"/>
    </row>
    <row r="961" ht="15.75" customHeight="1">
      <c r="G961" s="58"/>
    </row>
    <row r="962" ht="15.75" customHeight="1">
      <c r="G962" s="58"/>
    </row>
    <row r="963" ht="15.75" customHeight="1">
      <c r="G963" s="58"/>
    </row>
    <row r="964" ht="15.75" customHeight="1">
      <c r="G964" s="58"/>
    </row>
    <row r="965" ht="15.75" customHeight="1">
      <c r="G965" s="58"/>
    </row>
    <row r="966" ht="15.75" customHeight="1">
      <c r="G966" s="58"/>
    </row>
    <row r="967" ht="15.75" customHeight="1">
      <c r="G967" s="58"/>
    </row>
    <row r="968" ht="15.75" customHeight="1">
      <c r="G968" s="58"/>
    </row>
    <row r="969" ht="15.75" customHeight="1">
      <c r="G969" s="58"/>
    </row>
    <row r="970" ht="15.75" customHeight="1">
      <c r="G970" s="58"/>
    </row>
    <row r="971" ht="15.75" customHeight="1">
      <c r="G971" s="58"/>
    </row>
    <row r="972" ht="15.75" customHeight="1">
      <c r="G972" s="58"/>
    </row>
    <row r="973" ht="15.75" customHeight="1">
      <c r="G973" s="58"/>
    </row>
    <row r="974" ht="15.75" customHeight="1">
      <c r="G974" s="58"/>
    </row>
    <row r="975" ht="15.75" customHeight="1">
      <c r="G975" s="58"/>
    </row>
    <row r="976" ht="15.75" customHeight="1">
      <c r="G976" s="58"/>
    </row>
    <row r="977" ht="15.75" customHeight="1">
      <c r="G977" s="58"/>
    </row>
    <row r="978" ht="15.75" customHeight="1">
      <c r="G978" s="58"/>
    </row>
    <row r="979" ht="15.75" customHeight="1">
      <c r="G979" s="58"/>
    </row>
    <row r="980" ht="15.75" customHeight="1">
      <c r="G980" s="58"/>
    </row>
    <row r="981" ht="15.75" customHeight="1">
      <c r="G981" s="58"/>
    </row>
    <row r="982" ht="15.75" customHeight="1">
      <c r="G982" s="58"/>
    </row>
    <row r="983" ht="15.75" customHeight="1">
      <c r="G983" s="58"/>
    </row>
    <row r="984" ht="15.75" customHeight="1">
      <c r="G984" s="58"/>
    </row>
    <row r="985" ht="15.75" customHeight="1">
      <c r="G985" s="58"/>
    </row>
    <row r="986" ht="15.75" customHeight="1">
      <c r="G986" s="58"/>
    </row>
    <row r="987" ht="15.75" customHeight="1">
      <c r="G987" s="58"/>
    </row>
    <row r="988" ht="15.75" customHeight="1">
      <c r="G988" s="58"/>
    </row>
    <row r="989" ht="15.75" customHeight="1">
      <c r="G989" s="58"/>
    </row>
    <row r="990" ht="15.75" customHeight="1">
      <c r="G990" s="58"/>
    </row>
    <row r="991" ht="15.75" customHeight="1">
      <c r="G991" s="58"/>
    </row>
    <row r="992" ht="15.75" customHeight="1">
      <c r="G992" s="58"/>
    </row>
    <row r="993" ht="15.75" customHeight="1">
      <c r="G993" s="58"/>
    </row>
    <row r="994" ht="15.75" customHeight="1">
      <c r="G994" s="58"/>
    </row>
    <row r="995" ht="15.75" customHeight="1">
      <c r="G995" s="58"/>
    </row>
    <row r="996" ht="15.75" customHeight="1">
      <c r="G996" s="58"/>
    </row>
    <row r="997" ht="15.75" customHeight="1">
      <c r="G997" s="58"/>
    </row>
    <row r="998" ht="15.75" customHeight="1">
      <c r="G998" s="58"/>
    </row>
    <row r="999" ht="15.75" customHeight="1">
      <c r="G999" s="58"/>
    </row>
    <row r="1000" ht="15.75" customHeight="1">
      <c r="G1000" s="58"/>
    </row>
  </sheetData>
  <mergeCells count="2">
    <mergeCell ref="B2:D2"/>
    <mergeCell ref="B3:D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16.43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267</v>
      </c>
    </row>
    <row r="3" ht="15.0" customHeight="1">
      <c r="B3" s="48" t="s">
        <v>268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60000.0</v>
      </c>
      <c r="D6" s="48"/>
      <c r="F6" s="50" t="s">
        <v>269</v>
      </c>
      <c r="G6" s="52">
        <f>C6*C7</f>
        <v>45000</v>
      </c>
    </row>
    <row r="7" ht="15.0" customHeight="1">
      <c r="B7" s="50" t="s">
        <v>270</v>
      </c>
      <c r="C7" s="88">
        <v>0.75</v>
      </c>
      <c r="D7" s="48" t="s">
        <v>271</v>
      </c>
      <c r="F7" s="50" t="s">
        <v>272</v>
      </c>
      <c r="G7" s="52">
        <f>C6*C8</f>
        <v>15000</v>
      </c>
    </row>
    <row r="8" ht="15.0" customHeight="1">
      <c r="B8" s="50" t="s">
        <v>273</v>
      </c>
      <c r="C8" s="88">
        <f>1-C7</f>
        <v>0.25</v>
      </c>
      <c r="D8" s="48" t="s">
        <v>274</v>
      </c>
      <c r="F8" s="50" t="s">
        <v>130</v>
      </c>
      <c r="G8" s="54">
        <f>G6/C9</f>
        <v>0.1125</v>
      </c>
      <c r="H8" s="48"/>
    </row>
    <row r="9" ht="15.0" customHeight="1">
      <c r="B9" s="50" t="s">
        <v>275</v>
      </c>
      <c r="C9" s="51">
        <v>400000.0</v>
      </c>
      <c r="D9" s="48"/>
      <c r="F9" s="50" t="s">
        <v>276</v>
      </c>
      <c r="G9" s="55">
        <f>C10/C9</f>
        <v>1.2</v>
      </c>
    </row>
    <row r="10" ht="15.0" customHeight="1">
      <c r="B10" s="50" t="s">
        <v>277</v>
      </c>
      <c r="C10" s="51">
        <v>480000.0</v>
      </c>
      <c r="F10" s="50" t="s">
        <v>237</v>
      </c>
      <c r="G10" s="54">
        <f>G7/C11</f>
        <v>0.01363636364</v>
      </c>
      <c r="H10" s="48"/>
    </row>
    <row r="11" ht="15.0" customHeight="1">
      <c r="B11" s="50" t="s">
        <v>278</v>
      </c>
      <c r="C11" s="51">
        <v>1100000.0</v>
      </c>
      <c r="D11" s="48"/>
      <c r="F11" s="50" t="s">
        <v>279</v>
      </c>
      <c r="G11" s="55">
        <f>C12/C11</f>
        <v>1.181818182</v>
      </c>
    </row>
    <row r="12" ht="15.0" customHeight="1">
      <c r="B12" s="50" t="s">
        <v>280</v>
      </c>
      <c r="C12" s="51">
        <v>1300000.0</v>
      </c>
      <c r="G12" s="58"/>
    </row>
    <row r="13" ht="15.0" customHeight="1">
      <c r="B13" s="50"/>
      <c r="C13" s="118"/>
      <c r="F13" s="49" t="s">
        <v>281</v>
      </c>
      <c r="G13" s="49"/>
      <c r="H13" s="49"/>
    </row>
    <row r="14" ht="15.0" customHeight="1">
      <c r="B14" s="50"/>
      <c r="C14" s="118"/>
      <c r="F14" s="61" t="s">
        <v>138</v>
      </c>
      <c r="G14" s="62" t="s">
        <v>139</v>
      </c>
      <c r="H14" s="62" t="s">
        <v>140</v>
      </c>
    </row>
    <row r="15" ht="15.0" customHeight="1">
      <c r="F15" s="50" t="s">
        <v>142</v>
      </c>
      <c r="G15" s="52">
        <f>IF(G9&gt;=1,C9*G8*1,C9*G9*G8*1)</f>
        <v>45000</v>
      </c>
      <c r="H15" s="93">
        <f>G8*1</f>
        <v>0.1125</v>
      </c>
    </row>
    <row r="16" ht="15.0" customHeight="1">
      <c r="F16" s="50" t="s">
        <v>145</v>
      </c>
      <c r="G16" s="52">
        <f>IF(G9&gt;1,MIN(G9-1,0.25)*C9*G8*1.25,0)</f>
        <v>11250</v>
      </c>
      <c r="H16" s="93">
        <f>G8*1.25</f>
        <v>0.140625</v>
      </c>
    </row>
    <row r="17" ht="15.0" customHeight="1">
      <c r="F17" s="50" t="s">
        <v>148</v>
      </c>
      <c r="G17" s="52">
        <f>IF(G9&gt;1.25,MIN(G9-1.25,0.25)*C9*G8*1.5,0)</f>
        <v>0</v>
      </c>
      <c r="H17" s="93">
        <f>G8*1.5</f>
        <v>0.16875</v>
      </c>
    </row>
    <row r="18" ht="15.0" customHeight="1">
      <c r="F18" s="50" t="s">
        <v>151</v>
      </c>
      <c r="G18" s="52">
        <f>IF(G9&gt;1.5,MIN(G9-1.5,0.5)*C9*G8*2,0)</f>
        <v>0</v>
      </c>
      <c r="H18" s="93">
        <f>G8*2</f>
        <v>0.225</v>
      </c>
    </row>
    <row r="19" ht="15.0" customHeight="1">
      <c r="F19" s="50" t="s">
        <v>154</v>
      </c>
      <c r="G19" s="52">
        <f>IF(G9&gt;2,(G9-2)*C9*G8*2.25,0)</f>
        <v>0</v>
      </c>
      <c r="H19" s="93">
        <f>G8*2.25</f>
        <v>0.253125</v>
      </c>
    </row>
    <row r="20" ht="15.0" customHeight="1">
      <c r="F20" s="65" t="s">
        <v>157</v>
      </c>
      <c r="G20" s="66">
        <f>SUM(G15:G19)</f>
        <v>56250</v>
      </c>
      <c r="H20" s="90"/>
    </row>
    <row r="21" ht="15.75" customHeight="1">
      <c r="G21" s="58"/>
      <c r="H21" s="90"/>
    </row>
    <row r="22" ht="15.0" customHeight="1">
      <c r="F22" s="49" t="s">
        <v>282</v>
      </c>
      <c r="G22" s="49"/>
      <c r="H22" s="119"/>
    </row>
    <row r="23" ht="15.0" customHeight="1">
      <c r="F23" s="61" t="s">
        <v>138</v>
      </c>
      <c r="G23" s="62" t="s">
        <v>139</v>
      </c>
      <c r="H23" s="120" t="s">
        <v>140</v>
      </c>
    </row>
    <row r="24" ht="15.0" customHeight="1">
      <c r="F24" s="50" t="s">
        <v>142</v>
      </c>
      <c r="G24" s="52">
        <f>IF(G11&gt;=1,C11*G10*1,C11*G11*G10*1)</f>
        <v>15000</v>
      </c>
      <c r="H24" s="93">
        <f>G10*1</f>
        <v>0.01363636364</v>
      </c>
    </row>
    <row r="25" ht="15.0" customHeight="1">
      <c r="F25" s="50" t="s">
        <v>145</v>
      </c>
      <c r="G25" s="52">
        <f>IF(G11&gt;1,MIN(G11-1,0.25)*C11*G10*1.25,0)</f>
        <v>3409.090909</v>
      </c>
      <c r="H25" s="93">
        <f>G10*1.25</f>
        <v>0.01704545455</v>
      </c>
    </row>
    <row r="26" ht="15.0" customHeight="1">
      <c r="F26" s="50" t="s">
        <v>148</v>
      </c>
      <c r="G26" s="52">
        <f>IF(G11&gt;1.25,MIN(G11-1.25,0.25)*C11*G10*1.5,0)</f>
        <v>0</v>
      </c>
      <c r="H26" s="93">
        <f>G10*1.5</f>
        <v>0.02045454545</v>
      </c>
    </row>
    <row r="27" ht="15.0" customHeight="1">
      <c r="F27" s="50" t="s">
        <v>151</v>
      </c>
      <c r="G27" s="52">
        <f>IF(G11&gt;1.5,MIN(G11-1.5,0.5)*C11*G10*2,0)</f>
        <v>0</v>
      </c>
      <c r="H27" s="93">
        <f>G10*2</f>
        <v>0.02727272727</v>
      </c>
    </row>
    <row r="28" ht="15.0" customHeight="1">
      <c r="F28" s="50" t="s">
        <v>154</v>
      </c>
      <c r="G28" s="52">
        <f>IF(G11&gt;2,(G11-2)*C11*G10*2.25,0)</f>
        <v>0</v>
      </c>
      <c r="H28" s="93">
        <f>G10*2.25</f>
        <v>0.03068181818</v>
      </c>
    </row>
    <row r="29" ht="15.0" customHeight="1">
      <c r="F29" s="65" t="s">
        <v>157</v>
      </c>
      <c r="G29" s="66">
        <f>SUM(G24:G28)</f>
        <v>18409.09091</v>
      </c>
    </row>
    <row r="30" ht="15.75" customHeight="1">
      <c r="G30" s="58"/>
    </row>
    <row r="31" ht="15.0" customHeight="1">
      <c r="F31" s="72" t="s">
        <v>170</v>
      </c>
      <c r="G31" s="73"/>
      <c r="H31" s="74"/>
    </row>
    <row r="32" ht="15.0" customHeight="1">
      <c r="F32" s="75" t="s">
        <v>283</v>
      </c>
      <c r="G32" s="76">
        <f>G20</f>
        <v>56250</v>
      </c>
      <c r="H32" s="100"/>
    </row>
    <row r="33" ht="15.0" customHeight="1">
      <c r="F33" s="75" t="s">
        <v>284</v>
      </c>
      <c r="G33" s="76">
        <f>G29</f>
        <v>18409.09091</v>
      </c>
      <c r="H33" s="100"/>
    </row>
    <row r="34" ht="15.0" customHeight="1">
      <c r="F34" s="78" t="s">
        <v>174</v>
      </c>
      <c r="G34" s="76">
        <f>SUM(G32:G33)</f>
        <v>74659.09091</v>
      </c>
      <c r="H34" s="77"/>
    </row>
    <row r="35" ht="15.0" customHeight="1">
      <c r="F35" s="81"/>
      <c r="G35" s="58"/>
      <c r="H35" s="77"/>
    </row>
    <row r="36" ht="15.0" customHeight="1">
      <c r="F36" s="107" t="s">
        <v>175</v>
      </c>
      <c r="G36" s="69"/>
      <c r="H36" s="121"/>
    </row>
    <row r="37" ht="15.0" customHeight="1">
      <c r="F37" s="79" t="s">
        <v>285</v>
      </c>
      <c r="G37" s="70">
        <f>G8/2</f>
        <v>0.05625</v>
      </c>
      <c r="H37" s="83"/>
    </row>
    <row r="38" ht="15.0" customHeight="1">
      <c r="F38" s="79" t="s">
        <v>286</v>
      </c>
      <c r="G38" s="70">
        <f>G10/2</f>
        <v>0.006818181818</v>
      </c>
      <c r="H38" s="83"/>
    </row>
    <row r="39" ht="15.0" customHeight="1">
      <c r="F39" s="122" t="s">
        <v>287</v>
      </c>
      <c r="G39" s="123">
        <v>0.0</v>
      </c>
      <c r="H39" s="77"/>
    </row>
    <row r="40" ht="15.0" customHeight="1">
      <c r="F40" s="122" t="s">
        <v>288</v>
      </c>
      <c r="G40" s="123">
        <v>0.0</v>
      </c>
      <c r="H40" s="77"/>
    </row>
    <row r="41" ht="15.0" customHeight="1">
      <c r="F41" s="84" t="s">
        <v>289</v>
      </c>
      <c r="G41" s="85">
        <f>G39*G37+G40*G38</f>
        <v>0</v>
      </c>
      <c r="H41" s="86"/>
    </row>
    <row r="42" ht="15.75" customHeight="1">
      <c r="G42" s="5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290</v>
      </c>
    </row>
    <row r="3" ht="21.75" customHeight="1">
      <c r="B3" s="48" t="s">
        <v>224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126</v>
      </c>
      <c r="C6" s="51">
        <v>32500.0</v>
      </c>
      <c r="D6" s="48"/>
      <c r="F6" s="50" t="s">
        <v>225</v>
      </c>
      <c r="G6" s="52">
        <f>C6*0.8</f>
        <v>26000</v>
      </c>
    </row>
    <row r="7" ht="15.0" customHeight="1">
      <c r="B7" s="50" t="s">
        <v>188</v>
      </c>
      <c r="C7" s="88">
        <v>0.825</v>
      </c>
      <c r="D7" s="48"/>
      <c r="F7" s="50" t="s">
        <v>226</v>
      </c>
      <c r="G7" s="52">
        <f>C6*0.2</f>
        <v>6500</v>
      </c>
    </row>
    <row r="8" ht="15.0" customHeight="1">
      <c r="B8" s="50" t="s">
        <v>209</v>
      </c>
      <c r="C8" s="88">
        <v>0.88</v>
      </c>
      <c r="F8" s="50" t="s">
        <v>190</v>
      </c>
      <c r="G8" s="59">
        <f>2*C7-1</f>
        <v>0.65</v>
      </c>
      <c r="H8" s="48" t="s">
        <v>191</v>
      </c>
    </row>
    <row r="9" ht="22.5" customHeight="1">
      <c r="B9" s="50" t="s">
        <v>210</v>
      </c>
      <c r="C9" s="51">
        <v>7350000.0</v>
      </c>
      <c r="D9" s="48"/>
      <c r="F9" s="50" t="s">
        <v>193</v>
      </c>
      <c r="G9" s="59">
        <f>IF(C8&lt;G8,0,IF(C8&gt;=1,1.5,0.5+(C8-G8)/(1-G8)))</f>
        <v>1.157142857</v>
      </c>
      <c r="H9" s="48" t="s">
        <v>211</v>
      </c>
    </row>
    <row r="10" ht="15.0" customHeight="1">
      <c r="B10" s="50" t="s">
        <v>212</v>
      </c>
      <c r="C10" s="51">
        <v>7350000.0</v>
      </c>
      <c r="F10" s="50" t="s">
        <v>213</v>
      </c>
      <c r="G10" s="54">
        <f>IF(C9&gt;0,G7/C9,0)</f>
        <v>0.0008843537415</v>
      </c>
    </row>
    <row r="11" ht="15.0" customHeight="1">
      <c r="B11" s="50" t="s">
        <v>133</v>
      </c>
      <c r="C11" s="87" t="s">
        <v>134</v>
      </c>
      <c r="D11" s="48" t="s">
        <v>135</v>
      </c>
      <c r="F11" s="50" t="s">
        <v>214</v>
      </c>
      <c r="G11" s="55">
        <f>IF(C9&gt;0,C10/C9,0)</f>
        <v>1</v>
      </c>
    </row>
    <row r="12" ht="15.0" customHeight="1">
      <c r="B12" s="50" t="s">
        <v>136</v>
      </c>
      <c r="C12" s="51">
        <v>0.0</v>
      </c>
      <c r="G12" s="58"/>
    </row>
    <row r="13" ht="15.0" customHeight="1">
      <c r="F13" s="49" t="s">
        <v>217</v>
      </c>
      <c r="G13" s="49"/>
      <c r="H13" s="49"/>
    </row>
    <row r="14" ht="15.0" customHeight="1">
      <c r="F14" s="50" t="s">
        <v>166</v>
      </c>
      <c r="G14" s="52">
        <f>G9*G6</f>
        <v>30085.71429</v>
      </c>
    </row>
    <row r="15">
      <c r="G15" s="58"/>
    </row>
    <row r="16" ht="15.0" customHeight="1">
      <c r="F16" s="49" t="s">
        <v>218</v>
      </c>
      <c r="G16" s="49"/>
      <c r="H16" s="49"/>
    </row>
    <row r="17" ht="25.5" customHeight="1">
      <c r="F17" s="50" t="s">
        <v>227</v>
      </c>
      <c r="G17" s="52">
        <f>G6/4*0.75</f>
        <v>4875</v>
      </c>
      <c r="H17" s="48" t="s">
        <v>228</v>
      </c>
    </row>
    <row r="18" ht="25.5" customHeight="1">
      <c r="F18" s="50" t="s">
        <v>197</v>
      </c>
      <c r="G18" s="52">
        <f>G14-(G17*3)</f>
        <v>15460.71429</v>
      </c>
      <c r="H18" s="48" t="s">
        <v>168</v>
      </c>
    </row>
    <row r="19" ht="15.0" customHeight="1">
      <c r="F19" s="50" t="s">
        <v>169</v>
      </c>
      <c r="G19" s="52">
        <f>IF(OR(C11="Q1",C11="Q2",C11="Q3"),G17,G18)</f>
        <v>4875</v>
      </c>
    </row>
    <row r="20">
      <c r="G20" s="58"/>
    </row>
    <row r="21" ht="15.0" customHeight="1">
      <c r="F21" s="49" t="s">
        <v>219</v>
      </c>
      <c r="G21" s="49"/>
      <c r="H21" s="49"/>
    </row>
    <row r="22" ht="15.0" customHeight="1">
      <c r="F22" s="61" t="s">
        <v>138</v>
      </c>
      <c r="G22" s="62" t="s">
        <v>139</v>
      </c>
      <c r="H22" s="62" t="s">
        <v>140</v>
      </c>
    </row>
    <row r="23" ht="15.0" customHeight="1">
      <c r="F23" s="50" t="s">
        <v>142</v>
      </c>
      <c r="G23" s="52">
        <f>IF(G11&gt;=1,C9*G10*1,C9*G11*G10*1)</f>
        <v>6500</v>
      </c>
      <c r="H23" s="93">
        <f>G10*1</f>
        <v>0.0008843537415</v>
      </c>
    </row>
    <row r="24" ht="15.0" customHeight="1">
      <c r="F24" s="50" t="s">
        <v>145</v>
      </c>
      <c r="G24" s="52">
        <f>IF(G11&gt;1,MIN(G11-1,0.25)*C9*G10*1.25,0)</f>
        <v>0</v>
      </c>
      <c r="H24" s="93">
        <f>G10*1.25</f>
        <v>0.001105442177</v>
      </c>
    </row>
    <row r="25" ht="15.0" customHeight="1">
      <c r="F25" s="50" t="s">
        <v>148</v>
      </c>
      <c r="G25" s="52">
        <f>IF(G11&gt;1.25,MIN(G11-1.25,0.25)*C9*G10*1.5,0)</f>
        <v>0</v>
      </c>
      <c r="H25" s="93">
        <f>G10*1.5</f>
        <v>0.001326530612</v>
      </c>
    </row>
    <row r="26" ht="15.0" customHeight="1">
      <c r="F26" s="50" t="s">
        <v>151</v>
      </c>
      <c r="G26" s="52">
        <f>IF(G11&gt;1.5,MIN(G11-1.5,0.5)*C9*G10*2,0)</f>
        <v>0</v>
      </c>
      <c r="H26" s="93">
        <f>G10*2</f>
        <v>0.001768707483</v>
      </c>
    </row>
    <row r="27" ht="15.0" customHeight="1">
      <c r="F27" s="50" t="s">
        <v>154</v>
      </c>
      <c r="G27" s="52">
        <f>IF(G11&gt;2,(G11-2)*C9*G10*2.25,0)</f>
        <v>0</v>
      </c>
      <c r="H27" s="93">
        <f>G10*2.25</f>
        <v>0.001989795918</v>
      </c>
    </row>
    <row r="28" ht="15.0" customHeight="1">
      <c r="F28" s="65" t="s">
        <v>157</v>
      </c>
      <c r="G28" s="66">
        <f>SUM(G23:G27)</f>
        <v>6500</v>
      </c>
    </row>
    <row r="29" ht="15.75" customHeight="1">
      <c r="G29" s="58"/>
    </row>
    <row r="30" ht="15.0" customHeight="1">
      <c r="F30" s="72" t="s">
        <v>170</v>
      </c>
      <c r="G30" s="73"/>
      <c r="H30" s="74"/>
    </row>
    <row r="31" ht="15.75" customHeight="1">
      <c r="F31" s="75" t="s">
        <v>166</v>
      </c>
      <c r="G31" s="76">
        <f>G14</f>
        <v>30085.71429</v>
      </c>
      <c r="H31" s="100"/>
    </row>
    <row r="32" ht="15.75" customHeight="1">
      <c r="F32" s="75" t="s">
        <v>220</v>
      </c>
      <c r="G32" s="76">
        <f>G28</f>
        <v>6500</v>
      </c>
      <c r="H32" s="77"/>
    </row>
    <row r="33" ht="15.0" customHeight="1">
      <c r="F33" s="101" t="s">
        <v>174</v>
      </c>
      <c r="G33" s="102">
        <f>SUM(G31:G32)</f>
        <v>36585.71429</v>
      </c>
      <c r="H33" s="77"/>
    </row>
    <row r="34" ht="15.0" customHeight="1">
      <c r="F34" s="103"/>
      <c r="G34" s="69"/>
      <c r="H34" s="104"/>
    </row>
    <row r="35" ht="15.75" customHeight="1">
      <c r="F35" s="105" t="s">
        <v>200</v>
      </c>
      <c r="G35" s="71"/>
      <c r="H35" s="77"/>
    </row>
    <row r="36" ht="15.75" customHeight="1">
      <c r="F36" s="79" t="s">
        <v>201</v>
      </c>
      <c r="G36" s="106">
        <f>G19</f>
        <v>4875</v>
      </c>
      <c r="H36" s="77"/>
    </row>
    <row r="37" ht="15.75" customHeight="1">
      <c r="F37" s="79" t="s">
        <v>221</v>
      </c>
      <c r="G37" s="106">
        <f>G28/4</f>
        <v>1625</v>
      </c>
      <c r="H37" s="77"/>
    </row>
    <row r="38" ht="15.75" customHeight="1">
      <c r="F38" s="78" t="s">
        <v>203</v>
      </c>
      <c r="G38" s="76">
        <f>SUM(G36:G37)</f>
        <v>6500</v>
      </c>
      <c r="H38" s="77"/>
    </row>
    <row r="39" ht="15.0" customHeight="1">
      <c r="F39" s="81"/>
      <c r="G39" s="58"/>
      <c r="H39" s="77"/>
    </row>
    <row r="40" ht="15.0" customHeight="1">
      <c r="F40" s="107" t="s">
        <v>175</v>
      </c>
      <c r="G40" s="69"/>
      <c r="H40" s="104"/>
    </row>
    <row r="41" ht="15.75" customHeight="1">
      <c r="F41" s="79" t="s">
        <v>176</v>
      </c>
      <c r="G41" s="70">
        <f>G10/2</f>
        <v>0.0004421768707</v>
      </c>
      <c r="H41" s="83" t="s">
        <v>222</v>
      </c>
    </row>
    <row r="42" ht="15.75" customHeight="1">
      <c r="F42" s="108" t="s">
        <v>177</v>
      </c>
      <c r="G42" s="109">
        <f>C12*G41</f>
        <v>0</v>
      </c>
      <c r="H42" s="86"/>
    </row>
    <row r="43" ht="15.0" customHeight="1">
      <c r="F43" s="56"/>
      <c r="G43" s="110"/>
      <c r="H43" s="58"/>
    </row>
    <row r="44" ht="15.0" customHeight="1">
      <c r="F44" s="56"/>
      <c r="G44" s="71"/>
      <c r="H44" s="5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291</v>
      </c>
    </row>
    <row r="3" ht="25.5" customHeight="1">
      <c r="B3" s="48" t="s">
        <v>292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293</v>
      </c>
      <c r="C6" s="87" t="s">
        <v>294</v>
      </c>
      <c r="D6" s="48" t="s">
        <v>295</v>
      </c>
      <c r="F6" s="50" t="s">
        <v>296</v>
      </c>
      <c r="G6" s="52">
        <f>C7*0.8</f>
        <v>18000</v>
      </c>
    </row>
    <row r="7" ht="15.0" customHeight="1">
      <c r="B7" s="50" t="s">
        <v>126</v>
      </c>
      <c r="C7" s="51">
        <v>22500.0</v>
      </c>
      <c r="D7" s="48"/>
      <c r="F7" s="50" t="s">
        <v>297</v>
      </c>
      <c r="G7" s="52">
        <f>C7*0.2</f>
        <v>4500</v>
      </c>
    </row>
    <row r="8" ht="15.0" customHeight="1">
      <c r="B8" s="50" t="s">
        <v>298</v>
      </c>
      <c r="C8" s="124">
        <v>24.0</v>
      </c>
      <c r="D8" s="48"/>
      <c r="F8" s="50" t="s">
        <v>299</v>
      </c>
      <c r="G8" s="52">
        <f>G6/4</f>
        <v>4500</v>
      </c>
    </row>
    <row r="9" ht="15.0" customHeight="1">
      <c r="B9" s="50" t="s">
        <v>300</v>
      </c>
      <c r="C9" s="124">
        <v>30.0</v>
      </c>
      <c r="F9" s="50" t="s">
        <v>301</v>
      </c>
      <c r="G9" s="52">
        <f>G8/C8</f>
        <v>187.5</v>
      </c>
      <c r="H9" s="48"/>
    </row>
    <row r="10" ht="15.0" customHeight="1">
      <c r="B10" s="50" t="s">
        <v>302</v>
      </c>
      <c r="C10" s="51">
        <v>8750000.0</v>
      </c>
      <c r="D10" s="48"/>
      <c r="F10" s="50" t="s">
        <v>303</v>
      </c>
      <c r="G10" s="55">
        <f>C9/C8</f>
        <v>1.25</v>
      </c>
    </row>
    <row r="11" ht="15.0" customHeight="1">
      <c r="B11" s="50" t="s">
        <v>304</v>
      </c>
      <c r="C11" s="51">
        <v>1.1E7</v>
      </c>
      <c r="F11" s="50" t="s">
        <v>237</v>
      </c>
      <c r="G11" s="54">
        <f>G7/C10</f>
        <v>0.0005142857143</v>
      </c>
      <c r="H11" s="48"/>
    </row>
    <row r="12" ht="15.0" customHeight="1">
      <c r="B12" s="50" t="s">
        <v>305</v>
      </c>
      <c r="C12" s="51">
        <v>0.0</v>
      </c>
      <c r="F12" s="50" t="s">
        <v>306</v>
      </c>
      <c r="G12" s="55">
        <f>C11/C10</f>
        <v>1.257142857</v>
      </c>
    </row>
    <row r="13">
      <c r="G13" s="58"/>
    </row>
    <row r="14" ht="15.0" customHeight="1">
      <c r="F14" s="49" t="s">
        <v>307</v>
      </c>
      <c r="G14" s="49"/>
      <c r="H14" s="49"/>
    </row>
    <row r="15" ht="15.0" customHeight="1">
      <c r="F15" s="61" t="s">
        <v>138</v>
      </c>
      <c r="G15" s="62" t="s">
        <v>139</v>
      </c>
      <c r="H15" s="62" t="s">
        <v>246</v>
      </c>
    </row>
    <row r="16" ht="15.0" customHeight="1">
      <c r="F16" s="50" t="s">
        <v>142</v>
      </c>
      <c r="G16" s="52">
        <f>IF(G10&gt;=1,C8*G9*1,C8*G10*G9*1)</f>
        <v>4500</v>
      </c>
      <c r="H16" s="114">
        <f>G9*1</f>
        <v>187.5</v>
      </c>
    </row>
    <row r="17" ht="15.0" customHeight="1">
      <c r="F17" s="50" t="s">
        <v>145</v>
      </c>
      <c r="G17" s="52">
        <f>IF(G10&gt;1,MIN(G10-1,0.25)*C8*G9*1.25,0)</f>
        <v>1406.25</v>
      </c>
      <c r="H17" s="114">
        <f>G9*1.25</f>
        <v>234.375</v>
      </c>
    </row>
    <row r="18" ht="15.0" customHeight="1">
      <c r="F18" s="50" t="s">
        <v>148</v>
      </c>
      <c r="G18" s="52">
        <f>IF(G10&gt;1.25,MIN(G10-1.25,0.25)*C8*G9*1.5,0)</f>
        <v>0</v>
      </c>
      <c r="H18" s="114">
        <f>G9*1.5</f>
        <v>281.25</v>
      </c>
    </row>
    <row r="19" ht="15.0" customHeight="1">
      <c r="F19" s="50" t="s">
        <v>151</v>
      </c>
      <c r="G19" s="52">
        <f>IF(G10&gt;1.5,MIN(G10-1.5,0.5)*C8*G9*2,0)</f>
        <v>0</v>
      </c>
      <c r="H19" s="114">
        <f>G9*2</f>
        <v>375</v>
      </c>
    </row>
    <row r="20" ht="15.0" customHeight="1">
      <c r="F20" s="50" t="s">
        <v>154</v>
      </c>
      <c r="G20" s="52">
        <f>IF(G10&gt;2,(G10-2)*C8*G9*2.25,0)</f>
        <v>0</v>
      </c>
      <c r="H20" s="114">
        <f>G9*2.25</f>
        <v>421.875</v>
      </c>
    </row>
    <row r="21" ht="15.0" customHeight="1">
      <c r="F21" s="65" t="s">
        <v>157</v>
      </c>
      <c r="G21" s="66">
        <f>SUM(G16:G20)</f>
        <v>5906.25</v>
      </c>
    </row>
    <row r="22" ht="15.75" customHeight="1">
      <c r="G22" s="58"/>
    </row>
    <row r="23" ht="15.0" customHeight="1">
      <c r="F23" s="49" t="s">
        <v>308</v>
      </c>
      <c r="G23" s="49"/>
      <c r="H23" s="49"/>
    </row>
    <row r="24" ht="15.0" customHeight="1">
      <c r="F24" s="61" t="s">
        <v>138</v>
      </c>
      <c r="G24" s="62" t="s">
        <v>139</v>
      </c>
      <c r="H24" s="62" t="s">
        <v>140</v>
      </c>
    </row>
    <row r="25" ht="15.0" customHeight="1">
      <c r="F25" s="50" t="s">
        <v>142</v>
      </c>
      <c r="G25" s="52">
        <f>IF(G12&gt;=1,C10*G11*1,C10*G12*G11*1)</f>
        <v>4500</v>
      </c>
      <c r="H25" s="93">
        <f>G11*1</f>
        <v>0.0005142857143</v>
      </c>
    </row>
    <row r="26" ht="15.0" customHeight="1">
      <c r="F26" s="50" t="s">
        <v>145</v>
      </c>
      <c r="G26" s="52">
        <f>IF(G12&gt;1,MIN(G12-1,0.25)*C10*G11*1.25,0)</f>
        <v>1406.25</v>
      </c>
      <c r="H26" s="93">
        <f>G11*1.25</f>
        <v>0.0006428571429</v>
      </c>
    </row>
    <row r="27" ht="15.0" customHeight="1">
      <c r="F27" s="50" t="s">
        <v>148</v>
      </c>
      <c r="G27" s="52">
        <f>IF(G12&gt;1.25,MIN(G12-1.25,0.25)*C10*G11*1.5,0)</f>
        <v>48.21428571</v>
      </c>
      <c r="H27" s="93">
        <f>G11*1.5</f>
        <v>0.0007714285714</v>
      </c>
    </row>
    <row r="28" ht="15.0" customHeight="1">
      <c r="F28" s="50" t="s">
        <v>151</v>
      </c>
      <c r="G28" s="52">
        <f>IF(G12&gt;1.5,MIN(G12-1.5,0.5)*C10*G11*2,0)</f>
        <v>0</v>
      </c>
      <c r="H28" s="93">
        <f>G11*2</f>
        <v>0.001028571429</v>
      </c>
    </row>
    <row r="29" ht="15.0" customHeight="1">
      <c r="F29" s="50" t="s">
        <v>154</v>
      </c>
      <c r="G29" s="52">
        <f>IF(G12&gt;2,(G12-2)*C10*G11*2.25,0)</f>
        <v>0</v>
      </c>
      <c r="H29" s="93">
        <f>G11*2.25</f>
        <v>0.001157142857</v>
      </c>
    </row>
    <row r="30" ht="15.0" customHeight="1">
      <c r="F30" s="65" t="s">
        <v>157</v>
      </c>
      <c r="G30" s="66">
        <f>SUM(G25:G29)</f>
        <v>5954.464286</v>
      </c>
    </row>
    <row r="31" ht="15.75" customHeight="1">
      <c r="G31" s="58"/>
    </row>
    <row r="32" ht="15.0" customHeight="1">
      <c r="F32" s="72" t="s">
        <v>170</v>
      </c>
      <c r="G32" s="73"/>
      <c r="H32" s="74"/>
    </row>
    <row r="33" ht="15.75" customHeight="1">
      <c r="F33" s="75" t="s">
        <v>309</v>
      </c>
      <c r="G33" s="76">
        <f>G21</f>
        <v>5906.25</v>
      </c>
      <c r="H33" s="100"/>
    </row>
    <row r="34" ht="15.75" customHeight="1">
      <c r="F34" s="75" t="s">
        <v>310</v>
      </c>
      <c r="G34" s="76">
        <f>G33*4</f>
        <v>23625</v>
      </c>
      <c r="H34" s="77"/>
    </row>
    <row r="35" ht="15.0" customHeight="1">
      <c r="F35" s="115" t="s">
        <v>311</v>
      </c>
      <c r="G35" s="102">
        <f>G30</f>
        <v>5954.464286</v>
      </c>
      <c r="H35" s="77"/>
    </row>
    <row r="36" ht="15.0" customHeight="1">
      <c r="F36" s="116" t="s">
        <v>174</v>
      </c>
      <c r="G36" s="117">
        <f>G34+G35</f>
        <v>29579.46429</v>
      </c>
      <c r="H36" s="104"/>
    </row>
    <row r="37" ht="15.0" customHeight="1">
      <c r="F37" s="79"/>
      <c r="G37" s="71"/>
      <c r="H37" s="77"/>
    </row>
    <row r="38" ht="15.75" customHeight="1">
      <c r="F38" s="105" t="s">
        <v>175</v>
      </c>
      <c r="G38" s="71"/>
      <c r="H38" s="77"/>
    </row>
    <row r="39" ht="15.75" customHeight="1">
      <c r="F39" s="79" t="s">
        <v>176</v>
      </c>
      <c r="G39" s="70">
        <f>G11/2</f>
        <v>0.0002571428571</v>
      </c>
      <c r="H39" s="83"/>
    </row>
    <row r="40" ht="15.75" customHeight="1">
      <c r="F40" s="108" t="s">
        <v>177</v>
      </c>
      <c r="G40" s="109">
        <f>C12*G39</f>
        <v>0</v>
      </c>
      <c r="H40" s="86"/>
    </row>
    <row r="41" ht="15.0" customHeight="1">
      <c r="F41" s="56"/>
      <c r="G41" s="110"/>
      <c r="H41" s="5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0.0"/>
    <col customWidth="1" min="3" max="3" width="18.0"/>
    <col customWidth="1" min="4" max="4" width="30.0"/>
    <col customWidth="1" min="5" max="5" width="5.0"/>
    <col customWidth="1" min="6" max="6" width="40.0"/>
    <col customWidth="1" min="7" max="8" width="18.0"/>
    <col customWidth="1" min="9" max="26" width="8.86"/>
  </cols>
  <sheetData>
    <row r="2" ht="37.5" customHeight="1">
      <c r="B2" s="47" t="s">
        <v>312</v>
      </c>
    </row>
    <row r="3" ht="15.0" customHeight="1">
      <c r="B3" s="48" t="s">
        <v>313</v>
      </c>
    </row>
    <row r="5" ht="15.0" customHeight="1">
      <c r="B5" s="49" t="s">
        <v>124</v>
      </c>
      <c r="C5" s="49"/>
      <c r="D5" s="49"/>
      <c r="F5" s="49" t="s">
        <v>125</v>
      </c>
      <c r="G5" s="49"/>
      <c r="H5" s="49"/>
    </row>
    <row r="6" ht="15.0" customHeight="1">
      <c r="B6" s="50" t="s">
        <v>314</v>
      </c>
      <c r="C6" s="87" t="s">
        <v>315</v>
      </c>
      <c r="D6" s="48"/>
      <c r="F6" s="50" t="s">
        <v>130</v>
      </c>
      <c r="G6" s="54">
        <f>C7/C8</f>
        <v>0.00248447205</v>
      </c>
      <c r="H6" s="48"/>
    </row>
    <row r="7" ht="15.0" customHeight="1">
      <c r="B7" s="50" t="s">
        <v>126</v>
      </c>
      <c r="C7" s="51">
        <v>40000.0</v>
      </c>
      <c r="D7" s="48"/>
      <c r="F7" s="50" t="s">
        <v>306</v>
      </c>
      <c r="G7" s="55">
        <f>C9/C8</f>
        <v>1</v>
      </c>
    </row>
    <row r="8" ht="15.0" customHeight="1">
      <c r="B8" s="50" t="s">
        <v>302</v>
      </c>
      <c r="C8" s="51">
        <v>1.61E7</v>
      </c>
      <c r="D8" s="48"/>
      <c r="G8" s="58"/>
    </row>
    <row r="9" ht="15.0" customHeight="1">
      <c r="B9" s="50" t="s">
        <v>304</v>
      </c>
      <c r="C9" s="97">
        <v>1.61E7</v>
      </c>
      <c r="F9" s="49" t="s">
        <v>316</v>
      </c>
      <c r="G9" s="49"/>
      <c r="H9" s="49"/>
    </row>
    <row r="10" ht="15.0" customHeight="1">
      <c r="B10" s="50" t="s">
        <v>305</v>
      </c>
      <c r="C10" s="51">
        <v>0.0</v>
      </c>
      <c r="F10" s="61" t="s">
        <v>138</v>
      </c>
      <c r="G10" s="62" t="s">
        <v>139</v>
      </c>
      <c r="H10" s="62" t="s">
        <v>140</v>
      </c>
    </row>
    <row r="11" ht="15.0" customHeight="1">
      <c r="F11" s="50" t="s">
        <v>142</v>
      </c>
      <c r="G11" s="52">
        <f>IF(G7&gt;=1,C8*G6*1,C8*G7*G6*1)</f>
        <v>40000</v>
      </c>
      <c r="H11" s="93">
        <f>G6*1</f>
        <v>0.00248447205</v>
      </c>
    </row>
    <row r="12" ht="15.0" customHeight="1">
      <c r="F12" s="50" t="s">
        <v>145</v>
      </c>
      <c r="G12" s="52">
        <f>IF(G7&gt;1,MIN(G7-1,0.25)*C8*G6*1.25,0)</f>
        <v>0</v>
      </c>
      <c r="H12" s="93">
        <f>G6*1.25</f>
        <v>0.003105590062</v>
      </c>
    </row>
    <row r="13" ht="15.0" customHeight="1">
      <c r="F13" s="50" t="s">
        <v>148</v>
      </c>
      <c r="G13" s="52">
        <f>IF(G7&gt;1.25,MIN(G7-1.25,0.25)*C8*G6*1.5,0)</f>
        <v>0</v>
      </c>
      <c r="H13" s="93">
        <f>G6*1.5</f>
        <v>0.003726708075</v>
      </c>
    </row>
    <row r="14" ht="15.0" customHeight="1">
      <c r="F14" s="50" t="s">
        <v>151</v>
      </c>
      <c r="G14" s="52">
        <f>IF(G7&gt;1.5,MIN(G7-1.5,0.5)*C8*G6*2,0)</f>
        <v>0</v>
      </c>
      <c r="H14" s="93">
        <f>G6*2</f>
        <v>0.004968944099</v>
      </c>
    </row>
    <row r="15" ht="15.0" customHeight="1">
      <c r="F15" s="50" t="s">
        <v>154</v>
      </c>
      <c r="G15" s="52">
        <f>IF(G7&gt;2,(G7-2)*C8*G6*2.25,0)</f>
        <v>0</v>
      </c>
      <c r="H15" s="93">
        <f>G6*2.25</f>
        <v>0.005590062112</v>
      </c>
    </row>
    <row r="16" ht="15.0" customHeight="1">
      <c r="F16" s="65" t="s">
        <v>157</v>
      </c>
      <c r="G16" s="66">
        <f>SUM(G11:G15)</f>
        <v>40000</v>
      </c>
    </row>
    <row r="17">
      <c r="G17" s="58"/>
    </row>
    <row r="18" ht="15.0" customHeight="1">
      <c r="F18" s="72" t="s">
        <v>170</v>
      </c>
      <c r="G18" s="73"/>
      <c r="H18" s="74"/>
    </row>
    <row r="19" ht="15.75" customHeight="1">
      <c r="F19" s="75" t="s">
        <v>317</v>
      </c>
      <c r="G19" s="76">
        <f>G16</f>
        <v>40000</v>
      </c>
      <c r="H19" s="100"/>
    </row>
    <row r="20" ht="15.75" customHeight="1">
      <c r="F20" s="78" t="s">
        <v>174</v>
      </c>
      <c r="G20" s="76">
        <f>G19</f>
        <v>40000</v>
      </c>
      <c r="H20" s="77"/>
    </row>
    <row r="21" ht="15.0" customHeight="1">
      <c r="F21" s="81"/>
      <c r="G21" s="58"/>
      <c r="H21" s="77"/>
    </row>
    <row r="22" ht="15.0" customHeight="1">
      <c r="F22" s="107" t="s">
        <v>175</v>
      </c>
      <c r="G22" s="69"/>
      <c r="H22" s="104"/>
    </row>
    <row r="23" ht="15.75" customHeight="1">
      <c r="F23" s="79" t="s">
        <v>176</v>
      </c>
      <c r="G23" s="70">
        <f>G6/2</f>
        <v>0.001242236025</v>
      </c>
      <c r="H23" s="83"/>
    </row>
    <row r="24" ht="15.75" customHeight="1">
      <c r="F24" s="108" t="s">
        <v>177</v>
      </c>
      <c r="G24" s="109">
        <f>C10*G23</f>
        <v>0</v>
      </c>
      <c r="H24" s="86"/>
    </row>
    <row r="25" ht="15.0" customHeight="1">
      <c r="F25" s="56"/>
      <c r="G25" s="110"/>
      <c r="H25" s="5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2026-02-11T16:20:21Z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0x0101003CCD7E7EA72AD24FB0E5C77CB1C7774A</vt:lpwstr>
  </property>
</Properties>
</file>