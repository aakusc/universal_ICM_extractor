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brightspeed-my.sharepoint.com/personal/nicole_redfern_brightspeed_com/Documents/Documents/Commissions/Internal Team Plans 2026/MDU/"/>
    </mc:Choice>
  </mc:AlternateContent>
  <xr:revisionPtr revIDLastSave="75" documentId="8_{30977EAA-8483-4C66-92BC-94F363131250}" xr6:coauthVersionLast="47" xr6:coauthVersionMax="47" xr10:uidLastSave="{AEFE34F2-5077-485F-AE0D-CADAA3ABDBBD}"/>
  <bookViews>
    <workbookView xWindow="28680" yWindow="-120" windowWidth="29040" windowHeight="15720" tabRatio="760" firstSheet="2" activeTab="2" xr2:uid="{6B8DE737-8BCF-4306-9F62-C35DA7405114}"/>
  </bookViews>
  <sheets>
    <sheet name="AE Calculator" sheetId="1" state="hidden" r:id="rId1"/>
    <sheet name="Sheet2" sheetId="6" state="hidden" r:id="rId2"/>
    <sheet name="Summary" sheetId="11" r:id="rId3"/>
    <sheet name="AE Model" sheetId="3" r:id="rId4"/>
    <sheet name="AE Contracts Feb Sample" sheetId="13" r:id="rId5"/>
    <sheet name="AE Feb Model" sheetId="7" r:id="rId6"/>
    <sheet name="AE Jan Model" sheetId="10" r:id="rId7"/>
    <sheet name="TSR Model" sheetId="4" r:id="rId8"/>
    <sheet name="TSR Sales Feb Sample" sheetId="14" r:id="rId9"/>
    <sheet name="TSR Sales Feb Model" sheetId="8" r:id="rId10"/>
    <sheet name="TSR Pen sample" sheetId="9" r:id="rId11"/>
    <sheet name="Dir Model" sheetId="5" r:id="rId12"/>
    <sheet name="Payroll" sheetId="12" r:id="rId13"/>
  </sheets>
  <definedNames>
    <definedName name="_xlnm._FilterDatabase" localSheetId="9" hidden="1">'TSR Sales Feb Model'!$A$1:$E$725</definedName>
    <definedName name="AE_rates">'AE Model'!$B$40:$E$47</definedName>
    <definedName name="AgreeMap">'AE Feb Model'!$Q$3:$R$8</definedName>
  </definedNames>
  <calcPr calcId="191028"/>
  <pivotCaches>
    <pivotCache cacheId="7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1" l="1"/>
  <c r="H24" i="11"/>
  <c r="H26" i="11"/>
  <c r="H21" i="11"/>
  <c r="H22" i="11"/>
  <c r="H23" i="11"/>
  <c r="H20" i="11"/>
  <c r="F20" i="11"/>
  <c r="G20" i="11"/>
  <c r="G24" i="11" s="1"/>
  <c r="F21" i="11"/>
  <c r="G21" i="11"/>
  <c r="F22" i="11"/>
  <c r="G22" i="11"/>
  <c r="F23" i="11"/>
  <c r="G23" i="11"/>
  <c r="F24" i="11"/>
  <c r="F26" i="11"/>
  <c r="G26" i="11"/>
  <c r="E26" i="11"/>
  <c r="E21" i="11"/>
  <c r="E22" i="11"/>
  <c r="E23" i="11"/>
  <c r="E20" i="11"/>
  <c r="E24" i="11" s="1"/>
  <c r="G16" i="11"/>
  <c r="E16" i="11"/>
  <c r="E6" i="11"/>
  <c r="E7" i="11"/>
  <c r="E8" i="11"/>
  <c r="E9" i="11"/>
  <c r="E10" i="11"/>
  <c r="E11" i="11"/>
  <c r="E12" i="11"/>
  <c r="E13" i="11"/>
  <c r="E5" i="11"/>
  <c r="D28" i="5"/>
  <c r="D27" i="5"/>
  <c r="C28" i="5"/>
  <c r="C27" i="5"/>
  <c r="E27" i="5"/>
  <c r="D19" i="5"/>
  <c r="C19" i="5"/>
  <c r="E19" i="5" s="1"/>
  <c r="D18" i="5"/>
  <c r="E18" i="5" s="1"/>
  <c r="C18" i="5"/>
  <c r="E13" i="5"/>
  <c r="F19" i="5" s="1"/>
  <c r="F28" i="5" s="1"/>
  <c r="D13" i="5"/>
  <c r="F18" i="5" s="1"/>
  <c r="F27" i="5" s="1"/>
  <c r="C12" i="5"/>
  <c r="C13" i="5" s="1"/>
  <c r="F17" i="5" s="1"/>
  <c r="D5" i="5"/>
  <c r="E5" i="5"/>
  <c r="F5" i="5"/>
  <c r="G5" i="5"/>
  <c r="H5" i="5"/>
  <c r="I5" i="5"/>
  <c r="J5" i="5"/>
  <c r="K5" i="5"/>
  <c r="L5" i="5"/>
  <c r="M5" i="5"/>
  <c r="N5" i="5"/>
  <c r="C5" i="5"/>
  <c r="O5" i="5" s="1"/>
  <c r="K46" i="8"/>
  <c r="U32" i="8"/>
  <c r="T32" i="8"/>
  <c r="S32" i="8"/>
  <c r="N46" i="8"/>
  <c r="U29" i="8"/>
  <c r="U30" i="8"/>
  <c r="U31" i="8"/>
  <c r="U28" i="8"/>
  <c r="T29" i="8"/>
  <c r="T30" i="8"/>
  <c r="T31" i="8"/>
  <c r="T28" i="8"/>
  <c r="K41" i="8"/>
  <c r="K42" i="8"/>
  <c r="K43" i="8"/>
  <c r="K40" i="8"/>
  <c r="T23" i="8"/>
  <c r="S23" i="8"/>
  <c r="S21" i="8"/>
  <c r="U21" i="8" s="1"/>
  <c r="U23" i="8" s="1"/>
  <c r="U20" i="8"/>
  <c r="U19" i="8"/>
  <c r="U18" i="8"/>
  <c r="U17" i="8"/>
  <c r="T21" i="8"/>
  <c r="N41" i="8"/>
  <c r="N42" i="8"/>
  <c r="N43" i="8"/>
  <c r="N40" i="8"/>
  <c r="I46" i="8"/>
  <c r="M46" i="8" s="1"/>
  <c r="O46" i="8" s="1"/>
  <c r="M43" i="8"/>
  <c r="O43" i="8" s="1"/>
  <c r="I43" i="8"/>
  <c r="J43" i="8" s="1"/>
  <c r="L43" i="8" s="1"/>
  <c r="I42" i="8"/>
  <c r="M42" i="8" s="1"/>
  <c r="O42" i="8" s="1"/>
  <c r="I41" i="8"/>
  <c r="M41" i="8" s="1"/>
  <c r="O41" i="8" s="1"/>
  <c r="M40" i="8"/>
  <c r="I40" i="8"/>
  <c r="J40" i="8" s="1"/>
  <c r="Q34" i="8"/>
  <c r="Q31" i="8"/>
  <c r="Q30" i="8"/>
  <c r="Q29" i="8"/>
  <c r="Q28" i="8"/>
  <c r="P32" i="8"/>
  <c r="O32" i="8"/>
  <c r="L32" i="8"/>
  <c r="P34" i="8"/>
  <c r="P31" i="8"/>
  <c r="P30" i="8"/>
  <c r="P29" i="8"/>
  <c r="P28" i="8"/>
  <c r="O34" i="8"/>
  <c r="O29" i="8"/>
  <c r="O30" i="8"/>
  <c r="O31" i="8"/>
  <c r="O28" i="8"/>
  <c r="N34" i="8"/>
  <c r="N31" i="8"/>
  <c r="N30" i="8"/>
  <c r="N29" i="8"/>
  <c r="N28" i="8"/>
  <c r="M34" i="8"/>
  <c r="M31" i="8"/>
  <c r="M30" i="8"/>
  <c r="M29" i="8"/>
  <c r="M28" i="8"/>
  <c r="K34" i="8"/>
  <c r="L34" i="8" s="1"/>
  <c r="J34" i="8"/>
  <c r="L31" i="8"/>
  <c r="L30" i="8"/>
  <c r="L29" i="8"/>
  <c r="L28" i="8"/>
  <c r="K29" i="8"/>
  <c r="K30" i="8"/>
  <c r="K31" i="8"/>
  <c r="K28" i="8"/>
  <c r="J31" i="8"/>
  <c r="J30" i="8"/>
  <c r="J29" i="8"/>
  <c r="J28" i="8"/>
  <c r="I34" i="8"/>
  <c r="I31" i="8"/>
  <c r="I30" i="8"/>
  <c r="I29" i="8"/>
  <c r="I28" i="8"/>
  <c r="E14" i="11" l="1"/>
  <c r="F26" i="5"/>
  <c r="F29" i="5" s="1"/>
  <c r="F20" i="5"/>
  <c r="G18" i="5"/>
  <c r="G19" i="5"/>
  <c r="G27" i="5"/>
  <c r="E28" i="5"/>
  <c r="G28" i="5" s="1"/>
  <c r="L40" i="8"/>
  <c r="P40" i="8" s="1"/>
  <c r="P43" i="8"/>
  <c r="Q43" i="8" s="1"/>
  <c r="O40" i="8"/>
  <c r="O44" i="8" s="1"/>
  <c r="J41" i="8"/>
  <c r="L41" i="8" s="1"/>
  <c r="P41" i="8" s="1"/>
  <c r="Q41" i="8" s="1"/>
  <c r="J42" i="8"/>
  <c r="L42" i="8" s="1"/>
  <c r="P42" i="8" s="1"/>
  <c r="Q42" i="8" s="1"/>
  <c r="J46" i="8"/>
  <c r="L46" i="8" s="1"/>
  <c r="P46" i="8" s="1"/>
  <c r="Q46" i="8" l="1"/>
  <c r="T34" i="8"/>
  <c r="U34" i="8" s="1"/>
  <c r="P44" i="8"/>
  <c r="Q40" i="8"/>
  <c r="L44" i="8"/>
  <c r="O23" i="8" l="1"/>
  <c r="N23" i="8"/>
  <c r="M23" i="8"/>
  <c r="O18" i="8"/>
  <c r="O19" i="8"/>
  <c r="O20" i="8"/>
  <c r="O17" i="8"/>
  <c r="M20" i="8"/>
  <c r="N20" i="8"/>
  <c r="N17" i="8"/>
  <c r="N18" i="8"/>
  <c r="N19" i="8"/>
  <c r="M18" i="8"/>
  <c r="M19" i="8"/>
  <c r="M17" i="8"/>
  <c r="J21" i="8"/>
  <c r="J23" i="8" s="1"/>
  <c r="I21" i="8"/>
  <c r="I23" i="8" s="1"/>
  <c r="K20" i="8"/>
  <c r="I7" i="4"/>
  <c r="G7" i="4"/>
  <c r="H7" i="4"/>
  <c r="J7" i="4"/>
  <c r="K7" i="4"/>
  <c r="L7" i="4"/>
  <c r="M7" i="4"/>
  <c r="N7" i="4"/>
  <c r="O7" i="4"/>
  <c r="P7" i="4"/>
  <c r="Q7" i="4"/>
  <c r="F7" i="4"/>
  <c r="K19" i="8"/>
  <c r="K18" i="8"/>
  <c r="K17" i="8"/>
  <c r="O13" i="10"/>
  <c r="K21" i="8" l="1"/>
  <c r="K23" i="8" s="1"/>
  <c r="M23" i="7" l="1"/>
  <c r="M19" i="7"/>
  <c r="M18" i="7"/>
  <c r="M17" i="7"/>
  <c r="L25" i="7"/>
  <c r="L24" i="7"/>
  <c r="L23" i="7"/>
  <c r="L22" i="7"/>
  <c r="L21" i="7"/>
  <c r="L20" i="7"/>
  <c r="L19" i="7"/>
  <c r="L18" i="7"/>
  <c r="L17" i="7"/>
  <c r="K23" i="7"/>
  <c r="K19" i="7"/>
  <c r="K18" i="7"/>
  <c r="O18" i="7" s="1"/>
  <c r="K17" i="7"/>
  <c r="J23" i="7"/>
  <c r="J19" i="7"/>
  <c r="J18" i="7"/>
  <c r="J17" i="7"/>
  <c r="D23" i="7"/>
  <c r="N23" i="7" s="1"/>
  <c r="D19" i="7"/>
  <c r="D18" i="7"/>
  <c r="D17" i="7"/>
  <c r="W43" i="10"/>
  <c r="E28" i="10"/>
  <c r="A78" i="10"/>
  <c r="A79" i="10"/>
  <c r="A80" i="10"/>
  <c r="A81" i="10"/>
  <c r="F81" i="10"/>
  <c r="F80" i="10"/>
  <c r="F79" i="10"/>
  <c r="F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F65" i="10"/>
  <c r="F64" i="10"/>
  <c r="F63" i="10"/>
  <c r="F62" i="10"/>
  <c r="I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F73" i="10" s="1"/>
  <c r="I23" i="10"/>
  <c r="I24" i="10"/>
  <c r="I25" i="10"/>
  <c r="I26" i="10"/>
  <c r="I27" i="10"/>
  <c r="A48" i="10"/>
  <c r="A47" i="10"/>
  <c r="A46" i="10"/>
  <c r="E12" i="7"/>
  <c r="E11" i="7"/>
  <c r="E10" i="7"/>
  <c r="E9" i="7"/>
  <c r="E8" i="7"/>
  <c r="E7" i="7"/>
  <c r="E6" i="7"/>
  <c r="E5" i="7"/>
  <c r="E4" i="7"/>
  <c r="E3" i="7"/>
  <c r="E2" i="7"/>
  <c r="N17" i="7" l="1"/>
  <c r="Q17" i="7"/>
  <c r="O17" i="7"/>
  <c r="Q18" i="7"/>
  <c r="P23" i="7"/>
  <c r="N18" i="7"/>
  <c r="N19" i="7"/>
  <c r="Q19" i="7"/>
  <c r="O19" i="7"/>
  <c r="Q23" i="7"/>
  <c r="O23" i="7"/>
  <c r="P18" i="7"/>
  <c r="P17" i="7"/>
  <c r="P19" i="7"/>
  <c r="L26" i="7"/>
  <c r="E40" i="10"/>
  <c r="E70" i="10"/>
  <c r="L38" i="10" s="1"/>
  <c r="E56" i="10"/>
  <c r="M34" i="10" s="1"/>
  <c r="E71" i="10"/>
  <c r="N38" i="10" s="1"/>
  <c r="E69" i="10"/>
  <c r="O37" i="10" s="1"/>
  <c r="E57" i="10"/>
  <c r="O34" i="10" s="1"/>
  <c r="E58" i="10"/>
  <c r="L35" i="10" s="1"/>
  <c r="E72" i="10"/>
  <c r="M38" i="10" s="1"/>
  <c r="E59" i="10"/>
  <c r="N35" i="10" s="1"/>
  <c r="E73" i="10"/>
  <c r="O38" i="10" s="1"/>
  <c r="E46" i="10"/>
  <c r="L32" i="10" s="1"/>
  <c r="E60" i="10"/>
  <c r="M35" i="10" s="1"/>
  <c r="T35" i="10" s="1"/>
  <c r="U35" i="10" s="1"/>
  <c r="G35" i="10" s="1"/>
  <c r="E74" i="10"/>
  <c r="L39" i="10" s="1"/>
  <c r="E47" i="10"/>
  <c r="N32" i="10" s="1"/>
  <c r="E61" i="10"/>
  <c r="O35" i="10" s="1"/>
  <c r="E75" i="10"/>
  <c r="N39" i="10" s="1"/>
  <c r="E48" i="10"/>
  <c r="M32" i="10" s="1"/>
  <c r="E62" i="10"/>
  <c r="L36" i="10" s="1"/>
  <c r="E76" i="10"/>
  <c r="M39" i="10" s="1"/>
  <c r="E49" i="10"/>
  <c r="O32" i="10" s="1"/>
  <c r="E63" i="10"/>
  <c r="N36" i="10" s="1"/>
  <c r="E77" i="10"/>
  <c r="O39" i="10" s="1"/>
  <c r="E50" i="10"/>
  <c r="L33" i="10" s="1"/>
  <c r="E64" i="10"/>
  <c r="M36" i="10" s="1"/>
  <c r="E78" i="10"/>
  <c r="L40" i="10" s="1"/>
  <c r="E51" i="10"/>
  <c r="N33" i="10" s="1"/>
  <c r="E65" i="10"/>
  <c r="O36" i="10" s="1"/>
  <c r="E79" i="10"/>
  <c r="N40" i="10" s="1"/>
  <c r="E52" i="10"/>
  <c r="M33" i="10" s="1"/>
  <c r="E66" i="10"/>
  <c r="L37" i="10" s="1"/>
  <c r="E80" i="10"/>
  <c r="M40" i="10" s="1"/>
  <c r="E53" i="10"/>
  <c r="O33" i="10" s="1"/>
  <c r="E67" i="10"/>
  <c r="N37" i="10" s="1"/>
  <c r="E81" i="10"/>
  <c r="O40" i="10" s="1"/>
  <c r="E54" i="10"/>
  <c r="L34" i="10" s="1"/>
  <c r="E68" i="10"/>
  <c r="M37" i="10" s="1"/>
  <c r="E55" i="10"/>
  <c r="N34" i="10" s="1"/>
  <c r="F68" i="10"/>
  <c r="E42" i="7"/>
  <c r="M25" i="7" s="1"/>
  <c r="F53" i="10"/>
  <c r="E43" i="7"/>
  <c r="J24" i="7" s="1"/>
  <c r="F66" i="10"/>
  <c r="F76" i="10"/>
  <c r="F67" i="10"/>
  <c r="E44" i="7"/>
  <c r="K24" i="7" s="1"/>
  <c r="F69" i="10"/>
  <c r="E31" i="7"/>
  <c r="J20" i="7" s="1"/>
  <c r="E45" i="7"/>
  <c r="M24" i="7" s="1"/>
  <c r="E32" i="7"/>
  <c r="K20" i="7" s="1"/>
  <c r="E33" i="7"/>
  <c r="M20" i="7" s="1"/>
  <c r="E34" i="7"/>
  <c r="J21" i="7" s="1"/>
  <c r="E35" i="7"/>
  <c r="K21" i="7" s="1"/>
  <c r="F48" i="10"/>
  <c r="E36" i="7"/>
  <c r="M21" i="7" s="1"/>
  <c r="F49" i="10"/>
  <c r="E37" i="7"/>
  <c r="J22" i="7" s="1"/>
  <c r="F50" i="10"/>
  <c r="E38" i="7"/>
  <c r="K22" i="7" s="1"/>
  <c r="F77" i="10"/>
  <c r="F51" i="10"/>
  <c r="E39" i="7"/>
  <c r="M22" i="7" s="1"/>
  <c r="F52" i="10"/>
  <c r="E40" i="7"/>
  <c r="J25" i="7" s="1"/>
  <c r="F61" i="10"/>
  <c r="E41" i="7"/>
  <c r="K25" i="7" s="1"/>
  <c r="F75" i="10"/>
  <c r="E36" i="10"/>
  <c r="F57" i="10"/>
  <c r="F54" i="10"/>
  <c r="F55" i="10"/>
  <c r="F56" i="10"/>
  <c r="F70" i="10"/>
  <c r="F71" i="10"/>
  <c r="F58" i="10"/>
  <c r="F72" i="10"/>
  <c r="F59" i="10"/>
  <c r="F46" i="10"/>
  <c r="F60" i="10"/>
  <c r="F74" i="10"/>
  <c r="F47" i="10"/>
  <c r="T37" i="10" l="1"/>
  <c r="U37" i="10" s="1"/>
  <c r="G37" i="10" s="1"/>
  <c r="T38" i="10"/>
  <c r="U38" i="10" s="1"/>
  <c r="G38" i="10" s="1"/>
  <c r="T39" i="10"/>
  <c r="U39" i="10" s="1"/>
  <c r="G39" i="10" s="1"/>
  <c r="T40" i="10"/>
  <c r="U40" i="10" s="1"/>
  <c r="G40" i="10" s="1"/>
  <c r="T34" i="10"/>
  <c r="U34" i="10" s="1"/>
  <c r="G34" i="10" s="1"/>
  <c r="T33" i="10"/>
  <c r="U33" i="10" s="1"/>
  <c r="G33" i="10" s="1"/>
  <c r="T36" i="10"/>
  <c r="U36" i="10" s="1"/>
  <c r="G36" i="10" s="1"/>
  <c r="T32" i="10"/>
  <c r="L41" i="10"/>
  <c r="L43" i="10" s="1"/>
  <c r="M41" i="10"/>
  <c r="M26" i="7"/>
  <c r="N22" i="7"/>
  <c r="K26" i="7"/>
  <c r="L28" i="7"/>
  <c r="J26" i="7"/>
  <c r="O41" i="10"/>
  <c r="O43" i="10" s="1"/>
  <c r="N41" i="10"/>
  <c r="N43" i="10" s="1"/>
  <c r="D34" i="10"/>
  <c r="Q34" i="10" s="1"/>
  <c r="D39" i="10"/>
  <c r="Q39" i="10" s="1"/>
  <c r="D40" i="10"/>
  <c r="P40" i="10" s="1"/>
  <c r="E82" i="10"/>
  <c r="D32" i="10"/>
  <c r="P32" i="10" s="1"/>
  <c r="D33" i="10"/>
  <c r="R33" i="10" s="1"/>
  <c r="D35" i="10"/>
  <c r="S35" i="10" s="1"/>
  <c r="D36" i="10"/>
  <c r="Q36" i="10" s="1"/>
  <c r="D37" i="10"/>
  <c r="Q37" i="10" s="1"/>
  <c r="D21" i="7"/>
  <c r="P21" i="7" s="1"/>
  <c r="D38" i="10"/>
  <c r="S38" i="10" s="1"/>
  <c r="E37" i="10"/>
  <c r="E38" i="10"/>
  <c r="D20" i="7"/>
  <c r="P20" i="7" s="1"/>
  <c r="D22" i="7"/>
  <c r="P22" i="7" s="1"/>
  <c r="D24" i="7"/>
  <c r="P24" i="7" s="1"/>
  <c r="E39" i="10"/>
  <c r="D25" i="7"/>
  <c r="P25" i="7" s="1"/>
  <c r="E46" i="7"/>
  <c r="E33" i="10"/>
  <c r="E35" i="10"/>
  <c r="E32" i="10"/>
  <c r="F82" i="10"/>
  <c r="E34" i="10"/>
  <c r="E23" i="7"/>
  <c r="E19" i="7"/>
  <c r="E18" i="7"/>
  <c r="F45" i="7"/>
  <c r="F39" i="7"/>
  <c r="F36" i="7"/>
  <c r="F31" i="7"/>
  <c r="F13" i="7"/>
  <c r="R28" i="7"/>
  <c r="U32" i="10" l="1"/>
  <c r="G32" i="10" s="1"/>
  <c r="G41" i="10" s="1"/>
  <c r="T41" i="10"/>
  <c r="S37" i="10"/>
  <c r="P35" i="10"/>
  <c r="P37" i="10"/>
  <c r="R35" i="10"/>
  <c r="S36" i="10"/>
  <c r="Q35" i="10"/>
  <c r="Q21" i="7"/>
  <c r="R36" i="10"/>
  <c r="P36" i="10"/>
  <c r="Q25" i="7"/>
  <c r="Q33" i="10"/>
  <c r="N24" i="7"/>
  <c r="R37" i="10"/>
  <c r="R39" i="10"/>
  <c r="Q38" i="10"/>
  <c r="R40" i="10"/>
  <c r="Q32" i="10"/>
  <c r="P34" i="10"/>
  <c r="S39" i="10"/>
  <c r="M43" i="10"/>
  <c r="R32" i="10"/>
  <c r="N20" i="7"/>
  <c r="P38" i="10"/>
  <c r="Q40" i="10"/>
  <c r="S34" i="10"/>
  <c r="J28" i="7"/>
  <c r="Q24" i="7"/>
  <c r="O24" i="7"/>
  <c r="R38" i="10"/>
  <c r="P39" i="10"/>
  <c r="Q20" i="7"/>
  <c r="M28" i="7"/>
  <c r="S32" i="10"/>
  <c r="Q22" i="7"/>
  <c r="R34" i="10"/>
  <c r="S40" i="10"/>
  <c r="P33" i="10"/>
  <c r="S33" i="10"/>
  <c r="O22" i="7"/>
  <c r="O20" i="7"/>
  <c r="O21" i="7"/>
  <c r="N21" i="7"/>
  <c r="N25" i="7"/>
  <c r="K28" i="7"/>
  <c r="O25" i="7"/>
  <c r="D41" i="10"/>
  <c r="Q41" i="10" s="1"/>
  <c r="Q43" i="10" s="1"/>
  <c r="D26" i="7"/>
  <c r="P26" i="7" s="1"/>
  <c r="P28" i="7" s="1"/>
  <c r="F33" i="7"/>
  <c r="F34" i="7"/>
  <c r="F41" i="7"/>
  <c r="F32" i="7"/>
  <c r="F37" i="7"/>
  <c r="F35" i="7"/>
  <c r="F38" i="7"/>
  <c r="F42" i="7"/>
  <c r="F43" i="7"/>
  <c r="F44" i="7"/>
  <c r="F40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B47" i="3"/>
  <c r="B46" i="3"/>
  <c r="B45" i="3"/>
  <c r="B44" i="3"/>
  <c r="B43" i="3"/>
  <c r="B42" i="3"/>
  <c r="B41" i="3"/>
  <c r="B40" i="3"/>
  <c r="J15" i="3"/>
  <c r="I15" i="3"/>
  <c r="K15" i="3" s="1"/>
  <c r="L15" i="3" s="1"/>
  <c r="E12" i="3" s="1"/>
  <c r="J14" i="3"/>
  <c r="G21" i="7" s="1"/>
  <c r="I14" i="3"/>
  <c r="R24" i="7" s="1"/>
  <c r="O8" i="3"/>
  <c r="N8" i="3"/>
  <c r="M8" i="3"/>
  <c r="L8" i="3"/>
  <c r="K8" i="3"/>
  <c r="J8" i="3"/>
  <c r="I8" i="3"/>
  <c r="H8" i="3"/>
  <c r="G8" i="3"/>
  <c r="F8" i="3"/>
  <c r="E8" i="3"/>
  <c r="D8" i="3"/>
  <c r="E3" i="3"/>
  <c r="E4" i="3" s="1"/>
  <c r="G26" i="7" s="1"/>
  <c r="G28" i="7" s="1"/>
  <c r="F3" i="3"/>
  <c r="F4" i="3" s="1"/>
  <c r="G3" i="3"/>
  <c r="G4" i="3" s="1"/>
  <c r="H3" i="3"/>
  <c r="H4" i="3" s="1"/>
  <c r="I3" i="3"/>
  <c r="I4" i="3" s="1"/>
  <c r="J3" i="3"/>
  <c r="J4" i="3" s="1"/>
  <c r="K3" i="3"/>
  <c r="K4" i="3" s="1"/>
  <c r="L3" i="3"/>
  <c r="L4" i="3" s="1"/>
  <c r="M3" i="3"/>
  <c r="M4" i="3" s="1"/>
  <c r="N3" i="3"/>
  <c r="N4" i="3" s="1"/>
  <c r="O3" i="3"/>
  <c r="O4" i="3" s="1"/>
  <c r="D3" i="3"/>
  <c r="E18" i="6"/>
  <c r="I9" i="3" l="1"/>
  <c r="H3" i="5" s="1"/>
  <c r="R17" i="7"/>
  <c r="F17" i="7" s="1"/>
  <c r="S4" i="10" s="1"/>
  <c r="H5" i="11" s="1"/>
  <c r="G17" i="7"/>
  <c r="G20" i="7"/>
  <c r="F9" i="3"/>
  <c r="E3" i="5" s="1"/>
  <c r="G9" i="3"/>
  <c r="F3" i="5" s="1"/>
  <c r="H9" i="3"/>
  <c r="G3" i="5" s="1"/>
  <c r="R20" i="7"/>
  <c r="R21" i="7"/>
  <c r="R25" i="7"/>
  <c r="K14" i="3"/>
  <c r="L14" i="3" s="1"/>
  <c r="D12" i="3" s="1"/>
  <c r="D17" i="3" s="1"/>
  <c r="E46" i="3" s="1"/>
  <c r="I57" i="10" s="1"/>
  <c r="J57" i="10" s="1"/>
  <c r="W39" i="10"/>
  <c r="W38" i="10"/>
  <c r="W37" i="10"/>
  <c r="W36" i="10"/>
  <c r="W35" i="10"/>
  <c r="W34" i="10"/>
  <c r="W33" i="10"/>
  <c r="W32" i="10"/>
  <c r="W40" i="10"/>
  <c r="R19" i="7"/>
  <c r="F19" i="7" s="1"/>
  <c r="R18" i="7"/>
  <c r="F18" i="7" s="1"/>
  <c r="R23" i="7"/>
  <c r="F23" i="7" s="1"/>
  <c r="R22" i="7"/>
  <c r="I38" i="10"/>
  <c r="J38" i="10" s="1"/>
  <c r="I37" i="10"/>
  <c r="J37" i="10" s="1"/>
  <c r="I36" i="10"/>
  <c r="J36" i="10" s="1"/>
  <c r="I35" i="10"/>
  <c r="J35" i="10" s="1"/>
  <c r="I34" i="10"/>
  <c r="J34" i="10" s="1"/>
  <c r="I33" i="10"/>
  <c r="J33" i="10" s="1"/>
  <c r="I32" i="10"/>
  <c r="J32" i="10" s="1"/>
  <c r="I39" i="10"/>
  <c r="J39" i="10" s="1"/>
  <c r="G22" i="7"/>
  <c r="G18" i="7"/>
  <c r="H18" i="7" s="1"/>
  <c r="G19" i="7"/>
  <c r="H19" i="7" s="1"/>
  <c r="G23" i="7"/>
  <c r="H23" i="7" s="1"/>
  <c r="G24" i="7"/>
  <c r="I40" i="10"/>
  <c r="J40" i="10" s="1"/>
  <c r="G25" i="7"/>
  <c r="D4" i="3"/>
  <c r="I41" i="10" s="1"/>
  <c r="I43" i="10" s="1"/>
  <c r="X43" i="10" s="1"/>
  <c r="C17" i="5"/>
  <c r="E9" i="3"/>
  <c r="D3" i="5" s="1"/>
  <c r="C26" i="5" s="1"/>
  <c r="Q26" i="7"/>
  <c r="Q28" i="7" s="1"/>
  <c r="S41" i="10"/>
  <c r="S43" i="10" s="1"/>
  <c r="O26" i="7"/>
  <c r="O28" i="7" s="1"/>
  <c r="D43" i="10"/>
  <c r="P41" i="10"/>
  <c r="P43" i="10" s="1"/>
  <c r="N26" i="7"/>
  <c r="N28" i="7" s="1"/>
  <c r="R41" i="10"/>
  <c r="R43" i="10" s="1"/>
  <c r="D28" i="7"/>
  <c r="I65" i="10"/>
  <c r="J65" i="10" s="1"/>
  <c r="I61" i="10"/>
  <c r="J61" i="10" s="1"/>
  <c r="I73" i="10"/>
  <c r="J73" i="10" s="1"/>
  <c r="I69" i="10"/>
  <c r="J69" i="10" s="1"/>
  <c r="E22" i="7"/>
  <c r="E25" i="7"/>
  <c r="E21" i="7"/>
  <c r="H21" i="7" s="1"/>
  <c r="F46" i="7"/>
  <c r="E24" i="7"/>
  <c r="E20" i="7"/>
  <c r="E17" i="7"/>
  <c r="J9" i="3"/>
  <c r="I3" i="5" s="1"/>
  <c r="D9" i="3"/>
  <c r="C3" i="5" s="1"/>
  <c r="K9" i="3"/>
  <c r="J3" i="5" s="1"/>
  <c r="L9" i="3"/>
  <c r="K3" i="5" s="1"/>
  <c r="M9" i="3"/>
  <c r="L3" i="5" s="1"/>
  <c r="N9" i="3"/>
  <c r="M3" i="5" s="1"/>
  <c r="O9" i="3"/>
  <c r="N3" i="5" s="1"/>
  <c r="E14" i="3"/>
  <c r="E41" i="3" s="1"/>
  <c r="G40" i="7" s="1"/>
  <c r="H40" i="7" s="1"/>
  <c r="E17" i="3"/>
  <c r="E47" i="3" s="1"/>
  <c r="G42" i="7" s="1"/>
  <c r="H42" i="7" s="1"/>
  <c r="E16" i="3"/>
  <c r="E45" i="3" s="1"/>
  <c r="G41" i="7" s="1"/>
  <c r="H41" i="7" s="1"/>
  <c r="E15" i="3"/>
  <c r="E43" i="3" s="1"/>
  <c r="I79" i="10" s="1"/>
  <c r="J79" i="10" s="1"/>
  <c r="P8" i="3"/>
  <c r="G45" i="7" l="1"/>
  <c r="H45" i="7" s="1"/>
  <c r="H25" i="7"/>
  <c r="I77" i="10"/>
  <c r="J77" i="10" s="1"/>
  <c r="D14" i="3"/>
  <c r="E40" i="3" s="1"/>
  <c r="I46" i="10" s="1"/>
  <c r="J46" i="10" s="1"/>
  <c r="G33" i="7"/>
  <c r="H33" i="7" s="1"/>
  <c r="G39" i="7"/>
  <c r="H39" i="7" s="1"/>
  <c r="G36" i="7"/>
  <c r="H36" i="7" s="1"/>
  <c r="I81" i="10"/>
  <c r="J81" i="10" s="1"/>
  <c r="I53" i="10"/>
  <c r="J53" i="10" s="1"/>
  <c r="D16" i="3"/>
  <c r="E44" i="3" s="1"/>
  <c r="I52" i="10" s="1"/>
  <c r="J52" i="10" s="1"/>
  <c r="H20" i="7"/>
  <c r="I70" i="10"/>
  <c r="J70" i="10" s="1"/>
  <c r="S17" i="7"/>
  <c r="I78" i="10"/>
  <c r="J78" i="10" s="1"/>
  <c r="F40" i="10" s="1"/>
  <c r="H40" i="10" s="1"/>
  <c r="H22" i="7"/>
  <c r="D15" i="3"/>
  <c r="E42" i="3" s="1"/>
  <c r="I49" i="10"/>
  <c r="J49" i="10" s="1"/>
  <c r="I58" i="10"/>
  <c r="J58" i="10" s="1"/>
  <c r="I54" i="10"/>
  <c r="J54" i="10" s="1"/>
  <c r="G37" i="7"/>
  <c r="H37" i="7" s="1"/>
  <c r="O3" i="5"/>
  <c r="S23" i="7"/>
  <c r="V23" i="7" s="1"/>
  <c r="S10" i="10"/>
  <c r="H11" i="11" s="1"/>
  <c r="S19" i="7"/>
  <c r="V19" i="7" s="1"/>
  <c r="S6" i="10"/>
  <c r="H7" i="11" s="1"/>
  <c r="P4" i="3"/>
  <c r="I66" i="10"/>
  <c r="J66" i="10" s="1"/>
  <c r="I74" i="10"/>
  <c r="J74" i="10" s="1"/>
  <c r="I75" i="10"/>
  <c r="J75" i="10" s="1"/>
  <c r="S5" i="10"/>
  <c r="H6" i="11" s="1"/>
  <c r="S18" i="7"/>
  <c r="V18" i="7" s="1"/>
  <c r="I47" i="10"/>
  <c r="J47" i="10" s="1"/>
  <c r="H24" i="7"/>
  <c r="I62" i="10"/>
  <c r="J62" i="10" s="1"/>
  <c r="I50" i="10"/>
  <c r="J50" i="10" s="1"/>
  <c r="I64" i="10"/>
  <c r="J64" i="10" s="1"/>
  <c r="I72" i="10"/>
  <c r="J72" i="10" s="1"/>
  <c r="I60" i="10"/>
  <c r="J60" i="10" s="1"/>
  <c r="I80" i="10"/>
  <c r="J80" i="10" s="1"/>
  <c r="I48" i="10"/>
  <c r="J48" i="10" s="1"/>
  <c r="E26" i="7"/>
  <c r="F25" i="7"/>
  <c r="H17" i="7"/>
  <c r="P9" i="3"/>
  <c r="G31" i="7" l="1"/>
  <c r="H31" i="7" s="1"/>
  <c r="X40" i="10"/>
  <c r="P12" i="10"/>
  <c r="F32" i="10"/>
  <c r="H32" i="10" s="1"/>
  <c r="P4" i="10" s="1"/>
  <c r="F39" i="10"/>
  <c r="H39" i="10" s="1"/>
  <c r="V17" i="7"/>
  <c r="G35" i="7"/>
  <c r="H35" i="7" s="1"/>
  <c r="I68" i="10"/>
  <c r="J68" i="10" s="1"/>
  <c r="G34" i="7"/>
  <c r="H34" i="7" s="1"/>
  <c r="G43" i="7"/>
  <c r="H43" i="7" s="1"/>
  <c r="G32" i="7"/>
  <c r="H32" i="7" s="1"/>
  <c r="F20" i="7" s="1"/>
  <c r="I76" i="10"/>
  <c r="J76" i="10" s="1"/>
  <c r="I56" i="10"/>
  <c r="J56" i="10" s="1"/>
  <c r="I55" i="10"/>
  <c r="J55" i="10" s="1"/>
  <c r="F34" i="10" s="1"/>
  <c r="H34" i="10" s="1"/>
  <c r="I51" i="10"/>
  <c r="J51" i="10" s="1"/>
  <c r="I71" i="10"/>
  <c r="J71" i="10" s="1"/>
  <c r="F38" i="10" s="1"/>
  <c r="H38" i="10" s="1"/>
  <c r="I67" i="10"/>
  <c r="J67" i="10" s="1"/>
  <c r="I59" i="10"/>
  <c r="J59" i="10" s="1"/>
  <c r="F35" i="10" s="1"/>
  <c r="H35" i="10" s="1"/>
  <c r="G38" i="7"/>
  <c r="H38" i="7" s="1"/>
  <c r="F22" i="7" s="1"/>
  <c r="S22" i="7" s="1"/>
  <c r="V22" i="7" s="1"/>
  <c r="G44" i="7"/>
  <c r="H44" i="7" s="1"/>
  <c r="I63" i="10"/>
  <c r="J63" i="10" s="1"/>
  <c r="F36" i="10" s="1"/>
  <c r="H36" i="10" s="1"/>
  <c r="S25" i="7"/>
  <c r="V25" i="7" s="1"/>
  <c r="S12" i="10"/>
  <c r="H13" i="11" s="1"/>
  <c r="Y40" i="10"/>
  <c r="H26" i="7"/>
  <c r="E28" i="7"/>
  <c r="P7" i="3"/>
  <c r="X36" i="10" l="1"/>
  <c r="P8" i="10"/>
  <c r="X39" i="10"/>
  <c r="Y39" i="10" s="1"/>
  <c r="P11" i="10"/>
  <c r="Q11" i="10" s="1"/>
  <c r="G12" i="11" s="1"/>
  <c r="X35" i="10"/>
  <c r="Y35" i="10" s="1"/>
  <c r="P7" i="10"/>
  <c r="X38" i="10"/>
  <c r="P10" i="10"/>
  <c r="Q10" i="10" s="1"/>
  <c r="G11" i="11" s="1"/>
  <c r="F37" i="10"/>
  <c r="H37" i="10" s="1"/>
  <c r="X34" i="10"/>
  <c r="P6" i="10"/>
  <c r="X32" i="10"/>
  <c r="Y32" i="10" s="1"/>
  <c r="F33" i="10"/>
  <c r="H33" i="10" s="1"/>
  <c r="F24" i="7"/>
  <c r="S24" i="7" s="1"/>
  <c r="V24" i="7" s="1"/>
  <c r="Q7" i="10"/>
  <c r="G8" i="11" s="1"/>
  <c r="S9" i="10"/>
  <c r="H10" i="11" s="1"/>
  <c r="F21" i="7"/>
  <c r="Q8" i="10"/>
  <c r="G9" i="11" s="1"/>
  <c r="Y36" i="10"/>
  <c r="Y34" i="10"/>
  <c r="Q6" i="10"/>
  <c r="G7" i="11" s="1"/>
  <c r="J82" i="10"/>
  <c r="S11" i="10"/>
  <c r="H12" i="11" s="1"/>
  <c r="Y38" i="10"/>
  <c r="H46" i="7"/>
  <c r="S20" i="7"/>
  <c r="V20" i="7" s="1"/>
  <c r="S7" i="10"/>
  <c r="H8" i="11" s="1"/>
  <c r="F5" i="11"/>
  <c r="H28" i="7"/>
  <c r="F28" i="7" s="1"/>
  <c r="D26" i="5"/>
  <c r="E26" i="5" s="1"/>
  <c r="G26" i="5" s="1"/>
  <c r="G29" i="5" s="1"/>
  <c r="Q12" i="10"/>
  <c r="G13" i="11" s="1"/>
  <c r="F13" i="11"/>
  <c r="P3" i="3"/>
  <c r="P6" i="3"/>
  <c r="X37" i="10" l="1"/>
  <c r="Y37" i="10" s="1"/>
  <c r="P9" i="10"/>
  <c r="F11" i="11"/>
  <c r="X33" i="10"/>
  <c r="Y33" i="10" s="1"/>
  <c r="P5" i="10"/>
  <c r="Q5" i="10" s="1"/>
  <c r="G6" i="11" s="1"/>
  <c r="F12" i="11"/>
  <c r="H41" i="10"/>
  <c r="Q9" i="10"/>
  <c r="G10" i="11" s="1"/>
  <c r="F7" i="11"/>
  <c r="F8" i="11"/>
  <c r="F10" i="11"/>
  <c r="F9" i="11"/>
  <c r="S8" i="10"/>
  <c r="H9" i="11" s="1"/>
  <c r="H14" i="11" s="1"/>
  <c r="S21" i="7"/>
  <c r="V21" i="7" s="1"/>
  <c r="F26" i="7"/>
  <c r="Q4" i="10"/>
  <c r="P13" i="10"/>
  <c r="H29" i="5"/>
  <c r="H31" i="11"/>
  <c r="S28" i="7"/>
  <c r="S15" i="10"/>
  <c r="H16" i="11" s="1"/>
  <c r="B13" i="1"/>
  <c r="B3" i="1"/>
  <c r="E9" i="1" s="1"/>
  <c r="Q13" i="10" l="1"/>
  <c r="S13" i="10"/>
  <c r="F6" i="11"/>
  <c r="G5" i="11"/>
  <c r="G14" i="11" s="1"/>
  <c r="F14" i="11"/>
  <c r="E6" i="1"/>
  <c r="E8" i="1"/>
  <c r="E10" i="1"/>
  <c r="E7" i="1"/>
  <c r="E13" i="1" l="1"/>
  <c r="E41" i="10"/>
  <c r="D17" i="5" s="1"/>
  <c r="E17" i="5" s="1"/>
  <c r="G17" i="5" s="1"/>
  <c r="G20" i="5" s="1"/>
  <c r="F41" i="10"/>
  <c r="F31" i="11" l="1"/>
  <c r="G31" i="11" s="1"/>
  <c r="G22" i="5"/>
  <c r="H20" i="5"/>
  <c r="E43" i="10"/>
  <c r="J43" i="10" s="1"/>
  <c r="F43" i="10" s="1"/>
  <c r="P15" i="10" s="1"/>
  <c r="F16" i="11" s="1"/>
  <c r="J41" i="10"/>
</calcChain>
</file>

<file path=xl/sharedStrings.xml><?xml version="1.0" encoding="utf-8"?>
<sst xmlns="http://schemas.openxmlformats.org/spreadsheetml/2006/main" count="10468" uniqueCount="1519">
  <si>
    <t>Unit Goal</t>
  </si>
  <si>
    <t>AE Target</t>
  </si>
  <si>
    <t>Access</t>
  </si>
  <si>
    <t>Shared Marketing</t>
  </si>
  <si>
    <t>Exclusive Marketing</t>
  </si>
  <si>
    <t>Exclusive Marketing with BS NOW</t>
  </si>
  <si>
    <t>Bulk</t>
  </si>
  <si>
    <t>Winback</t>
  </si>
  <si>
    <t>AE</t>
  </si>
  <si>
    <t>Dollars per Unit Target</t>
  </si>
  <si>
    <t>(example Month)</t>
  </si>
  <si>
    <t>Units</t>
  </si>
  <si>
    <t>Type</t>
  </si>
  <si>
    <t>Multiplier</t>
  </si>
  <si>
    <t>Payout</t>
  </si>
  <si>
    <t>Deal 1</t>
  </si>
  <si>
    <t>Deal 2</t>
  </si>
  <si>
    <t>EM/wBSNOW</t>
  </si>
  <si>
    <t>Deal 3</t>
  </si>
  <si>
    <t>Deal 4</t>
  </si>
  <si>
    <t>Deal 5</t>
  </si>
  <si>
    <t>Totals</t>
  </si>
  <si>
    <t>(Logic: Payout = Units X $$'s X Unit Target X Multiplier</t>
  </si>
  <si>
    <t>TSI</t>
  </si>
  <si>
    <t>Next Steps</t>
  </si>
  <si>
    <t>40k per year commission</t>
  </si>
  <si>
    <t>Relook the AE territories to give everyone equal opportunity regardless of location</t>
  </si>
  <si>
    <t xml:space="preserve">Meet with comp team to determine what's possible. </t>
  </si>
  <si>
    <t>Align with weightings and categories for accelerators and decelerators</t>
  </si>
  <si>
    <t>AE Targets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</si>
  <si>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</si>
  <si>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</si>
  <si>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</si>
  <si>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</si>
  <si>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</si>
  <si>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</si>
  <si>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</si>
  <si>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</si>
  <si>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</si>
  <si>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</si>
  <si>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</si>
  <si>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</si>
  <si>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</si>
  <si>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Per Rep</t>
  </si>
  <si>
    <t>Natl AE</t>
  </si>
  <si>
    <t>Units Contracted</t>
  </si>
  <si>
    <t>Role</t>
  </si>
  <si>
    <t>Sr. Mgr, Dir, Sr. Dir</t>
  </si>
  <si>
    <t>AE, Natl AE</t>
  </si>
  <si>
    <t>Roles</t>
  </si>
  <si>
    <t>None</t>
  </si>
  <si>
    <t>300% of TSI</t>
  </si>
  <si>
    <t>Plan Math</t>
  </si>
  <si>
    <t>Units x Rate</t>
  </si>
  <si>
    <t>Sr Mgr</t>
  </si>
  <si>
    <t>100% TSI</t>
  </si>
  <si>
    <t>200% of TSI</t>
  </si>
  <si>
    <t>Thresholds</t>
  </si>
  <si>
    <t>Min</t>
  </si>
  <si>
    <t>Max</t>
  </si>
  <si>
    <t>Components &amp; Weight</t>
  </si>
  <si>
    <t>% Attain to Target</t>
  </si>
  <si>
    <t>Rate Card (Contract Type)</t>
  </si>
  <si>
    <t>Target Y/N</t>
  </si>
  <si>
    <t>N</t>
  </si>
  <si>
    <t>Y</t>
  </si>
  <si>
    <t>Eligible Transactions for Earnings</t>
  </si>
  <si>
    <t>Excel version of Salesforce report, attributed to rep, and deemed eligible by Steve/Megan</t>
  </si>
  <si>
    <t>Sr. Manager</t>
  </si>
  <si>
    <t>Aggregation of all eligible transactions, summed and calculated as a % attainment to target</t>
  </si>
  <si>
    <t>TSR Portfolio Penetration</t>
  </si>
  <si>
    <t>TSR Targets</t>
  </si>
  <si>
    <t>TSR Rep Portfolio Penetration</t>
  </si>
  <si>
    <t>TSR</t>
  </si>
  <si>
    <t>TSR Units Sold (Team)</t>
  </si>
  <si>
    <t>Penetration</t>
  </si>
  <si>
    <t>Units Sold</t>
  </si>
  <si>
    <t>50% TSI</t>
  </si>
  <si>
    <t>Targets</t>
  </si>
  <si>
    <t>Aggregation of TSR team +SFU transactions for both Penetration and Units Sold</t>
  </si>
  <si>
    <t>Dir, Sr Dir</t>
  </si>
  <si>
    <t>25% TSI</t>
  </si>
  <si>
    <t>Data Source and Aggregation is the same as defined in the AE and TSR Plans</t>
  </si>
  <si>
    <t>MDU Contracted Units Assumptions</t>
  </si>
  <si>
    <t>Monthly Quota</t>
  </si>
  <si>
    <t>Units per Contract</t>
  </si>
  <si>
    <t>Total Contracted Units</t>
  </si>
  <si>
    <t>Total Subs:</t>
  </si>
  <si>
    <t>Target @ 90%</t>
  </si>
  <si>
    <t>8 AEs + 1 Natl AE</t>
  </si>
  <si>
    <t>Per Unit Rate</t>
  </si>
  <si>
    <t>AE Rate</t>
  </si>
  <si>
    <t>Natl AE Rate</t>
  </si>
  <si>
    <t>Rate Mult</t>
  </si>
  <si>
    <t>Budget</t>
  </si>
  <si>
    <t>Rate Card</t>
  </si>
  <si>
    <t>Proposed Rates &gt; To be modeled to confirm (may want to round off)</t>
  </si>
  <si>
    <t>For launch, plan is to keep monthly goals even (as shown). May look at adjusting for seasonality in Q3/Q4 (or going into 2027)</t>
  </si>
  <si>
    <t>Director, Sr. Director</t>
  </si>
  <si>
    <t>Sr. Mgr</t>
  </si>
  <si>
    <t>Budget Target</t>
  </si>
  <si>
    <t>Commission Targets</t>
  </si>
  <si>
    <t>AE: Units Contracted (Budget)</t>
  </si>
  <si>
    <t>Winback Type removed</t>
  </si>
  <si>
    <t>TSR: Penetration</t>
  </si>
  <si>
    <t>TSR: Units Sold</t>
  </si>
  <si>
    <t>[Account Manager]</t>
  </si>
  <si>
    <t>[Related Offer: Offer Name]</t>
  </si>
  <si>
    <t>[Offer Type]</t>
  </si>
  <si>
    <t>[Contracted Units]</t>
  </si>
  <si>
    <t>Opportunity Name</t>
  </si>
  <si>
    <t>Deanna Bethea</t>
  </si>
  <si>
    <t>OR-057056</t>
  </si>
  <si>
    <t>Contract Executed</t>
  </si>
  <si>
    <t>Guy Huntley</t>
  </si>
  <si>
    <t>OR-057360</t>
  </si>
  <si>
    <t>BAA</t>
  </si>
  <si>
    <t>Jennifer Raypole</t>
  </si>
  <si>
    <t>OR-057246</t>
  </si>
  <si>
    <t>Sole Provider</t>
  </si>
  <si>
    <t>Morgan Carper</t>
  </si>
  <si>
    <t>OR-057276</t>
  </si>
  <si>
    <t>OR-057277</t>
  </si>
  <si>
    <t>OR-057278</t>
  </si>
  <si>
    <t>OR-057344</t>
  </si>
  <si>
    <t>Todd Myers</t>
  </si>
  <si>
    <t>OR-057271</t>
  </si>
  <si>
    <t>OR-057272</t>
  </si>
  <si>
    <t>OR-057273</t>
  </si>
  <si>
    <t>OR-057274</t>
  </si>
  <si>
    <t>Stage</t>
  </si>
  <si>
    <t>Won</t>
  </si>
  <si>
    <t>Contract Executed Date</t>
  </si>
  <si>
    <t>Close Month</t>
  </si>
  <si>
    <t>[TSR]</t>
  </si>
  <si>
    <t>[ORDER #]</t>
  </si>
  <si>
    <t>[SRVC_TYP]</t>
  </si>
  <si>
    <t>[STATE]</t>
  </si>
  <si>
    <t>[ORDER DATE]</t>
  </si>
  <si>
    <t>6d5fe13cc3956210c73cdda77d0131a5</t>
  </si>
  <si>
    <t>AL1100047194</t>
  </si>
  <si>
    <t>fQF Internet</t>
  </si>
  <si>
    <t>AL</t>
  </si>
  <si>
    <t>2026-02-02T00:00:00</t>
  </si>
  <si>
    <t>AL1100047243</t>
  </si>
  <si>
    <t>Fiber Internet</t>
  </si>
  <si>
    <t>AL1100047252</t>
  </si>
  <si>
    <t>AL1100047265</t>
  </si>
  <si>
    <t>AL1100047309</t>
  </si>
  <si>
    <t>2026-02-03T00:00:00</t>
  </si>
  <si>
    <t>AL1100047312</t>
  </si>
  <si>
    <t>AL1100047333</t>
  </si>
  <si>
    <t>AL1100047397</t>
  </si>
  <si>
    <t>2026-02-04T00:00:00</t>
  </si>
  <si>
    <t>AL1100047421</t>
  </si>
  <si>
    <t>AL1100047460</t>
  </si>
  <si>
    <t>2026-02-05T00:00:00</t>
  </si>
  <si>
    <t>AL1100047473</t>
  </si>
  <si>
    <t>AL1100047503</t>
  </si>
  <si>
    <t>AL1100047512</t>
  </si>
  <si>
    <t>AL1100047524</t>
  </si>
  <si>
    <t>AL1100047585</t>
  </si>
  <si>
    <t>2026-02-06T00:00:00</t>
  </si>
  <si>
    <t>AL1100047623</t>
  </si>
  <si>
    <t>AL1100047654</t>
  </si>
  <si>
    <t>2026-02-07T00:00:00</t>
  </si>
  <si>
    <t>AL1100047797</t>
  </si>
  <si>
    <t>2026-02-09T00:00:00</t>
  </si>
  <si>
    <t>AL1100047831</t>
  </si>
  <si>
    <t>AL1100047851</t>
  </si>
  <si>
    <t>2026-02-10T00:00:00</t>
  </si>
  <si>
    <t>AL1100047879</t>
  </si>
  <si>
    <t>AL1100047957</t>
  </si>
  <si>
    <t>2026-02-11T00:00:00</t>
  </si>
  <si>
    <t>AL1100047967</t>
  </si>
  <si>
    <t>AL1100047993</t>
  </si>
  <si>
    <t>AL1100048001</t>
  </si>
  <si>
    <t>AL1100048064</t>
  </si>
  <si>
    <t>2026-02-12T00:00:00</t>
  </si>
  <si>
    <t>AL1100048084</t>
  </si>
  <si>
    <t>AL1100048090</t>
  </si>
  <si>
    <t>AL1100048148</t>
  </si>
  <si>
    <t>AL1100048221</t>
  </si>
  <si>
    <t>2026-02-13T00:00:00</t>
  </si>
  <si>
    <t>AL1100048225</t>
  </si>
  <si>
    <t>AL1100048241</t>
  </si>
  <si>
    <t>AL1100048251</t>
  </si>
  <si>
    <t>AL1100048258</t>
  </si>
  <si>
    <t>AL1100048296</t>
  </si>
  <si>
    <t>2026-02-14T00:00:00</t>
  </si>
  <si>
    <t>AL1100048399</t>
  </si>
  <si>
    <t>2026-02-16T00:00:00</t>
  </si>
  <si>
    <t>AL1100048419</t>
  </si>
  <si>
    <t>AL1100048450</t>
  </si>
  <si>
    <t>AL1100048476</t>
  </si>
  <si>
    <t>AL1100048502</t>
  </si>
  <si>
    <t>2026-02-17T00:00:00</t>
  </si>
  <si>
    <t>AR1100035136</t>
  </si>
  <si>
    <t>AR</t>
  </si>
  <si>
    <t>AR1100035191</t>
  </si>
  <si>
    <t>AR1100035358</t>
  </si>
  <si>
    <t>AR1100035376</t>
  </si>
  <si>
    <t>AR1100035387</t>
  </si>
  <si>
    <t>AR1100035737</t>
  </si>
  <si>
    <t>AR1100035738</t>
  </si>
  <si>
    <t>AR1100035743</t>
  </si>
  <si>
    <t>AR1100035883</t>
  </si>
  <si>
    <t>Instant Internet</t>
  </si>
  <si>
    <t>NJ1100008114</t>
  </si>
  <si>
    <t>NJ</t>
  </si>
  <si>
    <t>NJ1100008135</t>
  </si>
  <si>
    <t>TX1100043765</t>
  </si>
  <si>
    <t>Instant Internet+Value Added Services</t>
  </si>
  <si>
    <t>TX</t>
  </si>
  <si>
    <t>2026-02-01T00:00:00</t>
  </si>
  <si>
    <t>TX1100043773</t>
  </si>
  <si>
    <t>TX1100043783</t>
  </si>
  <si>
    <t>Fiber Internet+Value Added Services</t>
  </si>
  <si>
    <t>TX1100043810</t>
  </si>
  <si>
    <t>TX1100043819</t>
  </si>
  <si>
    <t>TX1100043852</t>
  </si>
  <si>
    <t>TX1100043860</t>
  </si>
  <si>
    <t>TX1100043869</t>
  </si>
  <si>
    <t>TX1100043870</t>
  </si>
  <si>
    <t>TX1100043902</t>
  </si>
  <si>
    <t>TX1100043906</t>
  </si>
  <si>
    <t>TX1100043935</t>
  </si>
  <si>
    <t>TX1100043951</t>
  </si>
  <si>
    <t>TX1100043958</t>
  </si>
  <si>
    <t>TX1100043961</t>
  </si>
  <si>
    <t>TX1100043976</t>
  </si>
  <si>
    <t>TX1100044085</t>
  </si>
  <si>
    <t>TX1100044138</t>
  </si>
  <si>
    <t>fQF Internet+Value Added Services</t>
  </si>
  <si>
    <t>TX1100044147</t>
  </si>
  <si>
    <t>TX1100044152</t>
  </si>
  <si>
    <t>TX1100044161</t>
  </si>
  <si>
    <t>TX1100044166</t>
  </si>
  <si>
    <t>TX1100044170</t>
  </si>
  <si>
    <t>BrightSpeed Internet</t>
  </si>
  <si>
    <t>TX1100044199</t>
  </si>
  <si>
    <t>TX1100044252</t>
  </si>
  <si>
    <t>TX1100044282</t>
  </si>
  <si>
    <t>TX1100044338</t>
  </si>
  <si>
    <t>TX1100044344</t>
  </si>
  <si>
    <t>TX1100044359</t>
  </si>
  <si>
    <t>TX1100044417</t>
  </si>
  <si>
    <t>TX1100044435</t>
  </si>
  <si>
    <t>TX1100044453</t>
  </si>
  <si>
    <t>TX1100044471</t>
  </si>
  <si>
    <t>TX1100044516</t>
  </si>
  <si>
    <t>TX1100044552</t>
  </si>
  <si>
    <t>TX1100044594</t>
  </si>
  <si>
    <t>TX1100044616</t>
  </si>
  <si>
    <t>TX1100044670</t>
  </si>
  <si>
    <t>TX1100044715</t>
  </si>
  <si>
    <t>TX1100044752</t>
  </si>
  <si>
    <t>TX1100044775</t>
  </si>
  <si>
    <t>TX1100044858</t>
  </si>
  <si>
    <t>TX1100044878</t>
  </si>
  <si>
    <t>TX1100045049</t>
  </si>
  <si>
    <t>TX1100045069</t>
  </si>
  <si>
    <t>TX1100045077</t>
  </si>
  <si>
    <t>TX1100045113</t>
  </si>
  <si>
    <t>TX1100045193</t>
  </si>
  <si>
    <t>TX1100045257</t>
  </si>
  <si>
    <t>TX1100045264</t>
  </si>
  <si>
    <t>TX1100045266</t>
  </si>
  <si>
    <t>TX1100045294</t>
  </si>
  <si>
    <t>TX1100045298</t>
  </si>
  <si>
    <t>TX1100045303</t>
  </si>
  <si>
    <t>TX1100045310</t>
  </si>
  <si>
    <t>TX1100045346</t>
  </si>
  <si>
    <t>TX1100045391</t>
  </si>
  <si>
    <t>TX1100045396</t>
  </si>
  <si>
    <t>TX1100045415</t>
  </si>
  <si>
    <t>TX1100045421</t>
  </si>
  <si>
    <t>TX1100045500</t>
  </si>
  <si>
    <t>TX1100045501</t>
  </si>
  <si>
    <t>TX1100045544</t>
  </si>
  <si>
    <t>TX1100045562</t>
  </si>
  <si>
    <t>TX1100045595</t>
  </si>
  <si>
    <t>TX1100045657</t>
  </si>
  <si>
    <t>TX1100045667</t>
  </si>
  <si>
    <t>TX1100045671</t>
  </si>
  <si>
    <t>TX1100045676</t>
  </si>
  <si>
    <t>TX1100045758</t>
  </si>
  <si>
    <t>TX1100045778</t>
  </si>
  <si>
    <t>TX1100045785</t>
  </si>
  <si>
    <t>TX1100045821</t>
  </si>
  <si>
    <t>TX1100045852</t>
  </si>
  <si>
    <t>TX1100045885</t>
  </si>
  <si>
    <t>TX1100045886</t>
  </si>
  <si>
    <t>TX1100045895</t>
  </si>
  <si>
    <t>TX1100045898</t>
  </si>
  <si>
    <t>TX1100045910</t>
  </si>
  <si>
    <t>TX1100045920</t>
  </si>
  <si>
    <t>TX1100045946</t>
  </si>
  <si>
    <t>TX1100045988</t>
  </si>
  <si>
    <t>TX1100046084</t>
  </si>
  <si>
    <t>TX1100046112</t>
  </si>
  <si>
    <t>2026-02-15T00:00:00</t>
  </si>
  <si>
    <t>TX1100046201</t>
  </si>
  <si>
    <t>TX1100046231</t>
  </si>
  <si>
    <t>TX1100046243</t>
  </si>
  <si>
    <t>TX1100046260</t>
  </si>
  <si>
    <t>TX1100046279</t>
  </si>
  <si>
    <t>TX1100046285</t>
  </si>
  <si>
    <t>TX1100046316</t>
  </si>
  <si>
    <t>TX1100046341</t>
  </si>
  <si>
    <t>TX1100046342</t>
  </si>
  <si>
    <t>TX2100002134</t>
  </si>
  <si>
    <t>fQF Internet+fQF Voice</t>
  </si>
  <si>
    <t>WI1100019192</t>
  </si>
  <si>
    <t>WI</t>
  </si>
  <si>
    <t>WI1100019202</t>
  </si>
  <si>
    <t>WI1100019206</t>
  </si>
  <si>
    <t>WI1100019211</t>
  </si>
  <si>
    <t>WI1100019235</t>
  </si>
  <si>
    <t>WI1100019237</t>
  </si>
  <si>
    <t>WI1100019239</t>
  </si>
  <si>
    <t>WI1100019287</t>
  </si>
  <si>
    <t>WI1100019293</t>
  </si>
  <si>
    <t>WI1100019306</t>
  </si>
  <si>
    <t>WI1100019307</t>
  </si>
  <si>
    <t>WI1100019313</t>
  </si>
  <si>
    <t>WI1100019317</t>
  </si>
  <si>
    <t>WI1100019324</t>
  </si>
  <si>
    <t>WI1100019329</t>
  </si>
  <si>
    <t>WI1100019341</t>
  </si>
  <si>
    <t>WI1100019342</t>
  </si>
  <si>
    <t>WI1100019366</t>
  </si>
  <si>
    <t>WI1100019371</t>
  </si>
  <si>
    <t>WI1100019372</t>
  </si>
  <si>
    <t>WI1100019385</t>
  </si>
  <si>
    <t>WI1100019390</t>
  </si>
  <si>
    <t>DSL</t>
  </si>
  <si>
    <t>WI1100019392</t>
  </si>
  <si>
    <t>WI1100019393</t>
  </si>
  <si>
    <t>WI1100019402</t>
  </si>
  <si>
    <t>WI1100019428</t>
  </si>
  <si>
    <t>WI1100019451</t>
  </si>
  <si>
    <t>WI1100019465</t>
  </si>
  <si>
    <t>WI1100019468</t>
  </si>
  <si>
    <t>WI1100019484</t>
  </si>
  <si>
    <t>WI1100019487</t>
  </si>
  <si>
    <t>WI1100019510</t>
  </si>
  <si>
    <t>WI1100019512</t>
  </si>
  <si>
    <t>WI1100019515</t>
  </si>
  <si>
    <t>WI1100019594</t>
  </si>
  <si>
    <t>WI2100001673</t>
  </si>
  <si>
    <t>Fiber Internet+Fiber Voice+Value Added Services</t>
  </si>
  <si>
    <t>Joseph Buckles</t>
  </si>
  <si>
    <t>GA1100003274</t>
  </si>
  <si>
    <t>GA</t>
  </si>
  <si>
    <t>GA1100003352</t>
  </si>
  <si>
    <t>2026-02-08T00:00:00</t>
  </si>
  <si>
    <t>GA1100003365</t>
  </si>
  <si>
    <t>GA1100003366</t>
  </si>
  <si>
    <t>GA1100003405</t>
  </si>
  <si>
    <t>IN1100024669</t>
  </si>
  <si>
    <t>IN</t>
  </si>
  <si>
    <t>IN1100024833</t>
  </si>
  <si>
    <t>IN1100024960</t>
  </si>
  <si>
    <t>IN1100025059</t>
  </si>
  <si>
    <t>IN1100025079</t>
  </si>
  <si>
    <t>IN1100025086</t>
  </si>
  <si>
    <t>IN1100025130</t>
  </si>
  <si>
    <t>NC1100167523</t>
  </si>
  <si>
    <t>NC</t>
  </si>
  <si>
    <t>NC1100167528</t>
  </si>
  <si>
    <t>NC1100167553</t>
  </si>
  <si>
    <t>NC1100167600</t>
  </si>
  <si>
    <t>NC1100167620</t>
  </si>
  <si>
    <t>NC1100167671</t>
  </si>
  <si>
    <t>NC1100167871</t>
  </si>
  <si>
    <t>NC1100167935</t>
  </si>
  <si>
    <t>NC1100167972</t>
  </si>
  <si>
    <t>NC1100168216</t>
  </si>
  <si>
    <t>NC1100168225</t>
  </si>
  <si>
    <t>NC1100168309</t>
  </si>
  <si>
    <t>NC1100168503</t>
  </si>
  <si>
    <t>NC1100168628</t>
  </si>
  <si>
    <t>NC1100168649</t>
  </si>
  <si>
    <t>NC1100168709</t>
  </si>
  <si>
    <t>NC1100168869</t>
  </si>
  <si>
    <t>NC1100168883</t>
  </si>
  <si>
    <t>NC1100168884</t>
  </si>
  <si>
    <t>NC1100168888</t>
  </si>
  <si>
    <t>NC1100168895</t>
  </si>
  <si>
    <t>NC1100168918</t>
  </si>
  <si>
    <t>NC1100168961</t>
  </si>
  <si>
    <t>NC1100169184</t>
  </si>
  <si>
    <t>NC1100169212</t>
  </si>
  <si>
    <t>NC1100169249</t>
  </si>
  <si>
    <t>NC1100169260</t>
  </si>
  <si>
    <t>NC1100169273</t>
  </si>
  <si>
    <t>NC1100169276</t>
  </si>
  <si>
    <t>NC1100169279</t>
  </si>
  <si>
    <t>NC1100169292</t>
  </si>
  <si>
    <t>NC1100169296</t>
  </si>
  <si>
    <t>NC1100169320</t>
  </si>
  <si>
    <t>NC1100169326</t>
  </si>
  <si>
    <t>NC1100169330</t>
  </si>
  <si>
    <t>NC1100169401</t>
  </si>
  <si>
    <t>NC1100169442</t>
  </si>
  <si>
    <t>NC1100169443</t>
  </si>
  <si>
    <t>NC1100169477</t>
  </si>
  <si>
    <t>NC1100169522</t>
  </si>
  <si>
    <t>NC1100169555</t>
  </si>
  <si>
    <t>NC1100169627</t>
  </si>
  <si>
    <t>NC1100169760</t>
  </si>
  <si>
    <t>NC1100169885</t>
  </si>
  <si>
    <t>NC1100169891</t>
  </si>
  <si>
    <t>NC1100169914</t>
  </si>
  <si>
    <t>NC1100170009</t>
  </si>
  <si>
    <t>NC1100170073</t>
  </si>
  <si>
    <t>NC1100170401</t>
  </si>
  <si>
    <t>NC1100170536</t>
  </si>
  <si>
    <t>NC1100170700</t>
  </si>
  <si>
    <t>NC1100170703</t>
  </si>
  <si>
    <t>NC1100170764</t>
  </si>
  <si>
    <t>NC1100170839</t>
  </si>
  <si>
    <t>NC1100170951</t>
  </si>
  <si>
    <t>NC1100170968</t>
  </si>
  <si>
    <t>NC1100171099</t>
  </si>
  <si>
    <t>NC1100171167</t>
  </si>
  <si>
    <t>NC1100171176</t>
  </si>
  <si>
    <t>NC1100171214</t>
  </si>
  <si>
    <t>NC1100171290</t>
  </si>
  <si>
    <t>NC1100171369</t>
  </si>
  <si>
    <t>NC1100171684</t>
  </si>
  <si>
    <t>NC1100171747</t>
  </si>
  <si>
    <t>NC1100171750</t>
  </si>
  <si>
    <t>NC1100171803</t>
  </si>
  <si>
    <t>NC1100171814</t>
  </si>
  <si>
    <t>NC1100171888</t>
  </si>
  <si>
    <t>NC1100171964</t>
  </si>
  <si>
    <t>NC1100171997</t>
  </si>
  <si>
    <t>BrightSpeed Internet+Value Added Services</t>
  </si>
  <si>
    <t>NC1100172034</t>
  </si>
  <si>
    <t>NC1100172089</t>
  </si>
  <si>
    <t>NC1100172159</t>
  </si>
  <si>
    <t>NC1100172195</t>
  </si>
  <si>
    <t>NC1100172251</t>
  </si>
  <si>
    <t>NC1100172259</t>
  </si>
  <si>
    <t>OH1100067342</t>
  </si>
  <si>
    <t>OH</t>
  </si>
  <si>
    <t>OH1100067501</t>
  </si>
  <si>
    <t>OH1100067504</t>
  </si>
  <si>
    <t>OH1100067555</t>
  </si>
  <si>
    <t>OH1100067561</t>
  </si>
  <si>
    <t>OH1100067585</t>
  </si>
  <si>
    <t>OH1100067607</t>
  </si>
  <si>
    <t>OH1100067656</t>
  </si>
  <si>
    <t>OH1100067669</t>
  </si>
  <si>
    <t>OH1100067701</t>
  </si>
  <si>
    <t>OH1100067949</t>
  </si>
  <si>
    <t>OH1100067969</t>
  </si>
  <si>
    <t>OH1100068009</t>
  </si>
  <si>
    <t>OH1100068033</t>
  </si>
  <si>
    <t>OH1100068130</t>
  </si>
  <si>
    <t>OH1100068162</t>
  </si>
  <si>
    <t>OH1100068243</t>
  </si>
  <si>
    <t>OH1100068251</t>
  </si>
  <si>
    <t>OH1100068359</t>
  </si>
  <si>
    <t>OH1100068488</t>
  </si>
  <si>
    <t>OH1100068718</t>
  </si>
  <si>
    <t>OH1100068722</t>
  </si>
  <si>
    <t>OH1100068723</t>
  </si>
  <si>
    <t>OH1100068743</t>
  </si>
  <si>
    <t>OH1100068824</t>
  </si>
  <si>
    <t>OH2100005205</t>
  </si>
  <si>
    <t>BrightSpeed Internet+BrightSpeed Voice</t>
  </si>
  <si>
    <t>SC1100014236</t>
  </si>
  <si>
    <t>SC</t>
  </si>
  <si>
    <t>SC1100014237</t>
  </si>
  <si>
    <t>SC1100014245</t>
  </si>
  <si>
    <t>SC1100014323</t>
  </si>
  <si>
    <t>SC1100014380</t>
  </si>
  <si>
    <t>SC1100014382</t>
  </si>
  <si>
    <t>SC1100014452</t>
  </si>
  <si>
    <t>SC1100014502</t>
  </si>
  <si>
    <t>SC1100014593</t>
  </si>
  <si>
    <t>SC1100014649</t>
  </si>
  <si>
    <t>SC1100014671</t>
  </si>
  <si>
    <t>SC1100014680</t>
  </si>
  <si>
    <t>SC1100014685</t>
  </si>
  <si>
    <t>TN1100032394</t>
  </si>
  <si>
    <t>TN</t>
  </si>
  <si>
    <t>TN1100032395</t>
  </si>
  <si>
    <t>TN1100032428</t>
  </si>
  <si>
    <t>TN1100032452</t>
  </si>
  <si>
    <t>TN1100032774</t>
  </si>
  <si>
    <t>TN1100033031</t>
  </si>
  <si>
    <t>TN1100033075</t>
  </si>
  <si>
    <t>TN1100033170</t>
  </si>
  <si>
    <t>VA1100025035</t>
  </si>
  <si>
    <t>VA</t>
  </si>
  <si>
    <t>VA1100025525</t>
  </si>
  <si>
    <t>VA1100025552</t>
  </si>
  <si>
    <t>VA1100025553</t>
  </si>
  <si>
    <t>VA1100025556</t>
  </si>
  <si>
    <t>Karsten Freeman</t>
  </si>
  <si>
    <t>KS1100009566</t>
  </si>
  <si>
    <t>KS</t>
  </si>
  <si>
    <t>KS1100009571</t>
  </si>
  <si>
    <t>KS1100009574</t>
  </si>
  <si>
    <t>KS1100009589</t>
  </si>
  <si>
    <t>KS1100009629</t>
  </si>
  <si>
    <t>KS1100009737</t>
  </si>
  <si>
    <t>KS1100009799</t>
  </si>
  <si>
    <t>MO1100079652</t>
  </si>
  <si>
    <t>MO</t>
  </si>
  <si>
    <t>MO1100079657</t>
  </si>
  <si>
    <t>MO1100079663</t>
  </si>
  <si>
    <t>MO1100079665</t>
  </si>
  <si>
    <t>MO1100079671</t>
  </si>
  <si>
    <t>MO1100079673</t>
  </si>
  <si>
    <t>MO1100079679</t>
  </si>
  <si>
    <t>MO1100079684</t>
  </si>
  <si>
    <t>MO1100079708</t>
  </si>
  <si>
    <t>MO1100079718</t>
  </si>
  <si>
    <t>MO1100079721</t>
  </si>
  <si>
    <t>MO1100079724</t>
  </si>
  <si>
    <t>MO1100079727</t>
  </si>
  <si>
    <t>MO1100079742</t>
  </si>
  <si>
    <t>MO1100079768</t>
  </si>
  <si>
    <t>MO1100079810</t>
  </si>
  <si>
    <t>MO1100079842</t>
  </si>
  <si>
    <t>MO1100079855</t>
  </si>
  <si>
    <t>MO1100079868</t>
  </si>
  <si>
    <t>MO1100079872</t>
  </si>
  <si>
    <t>MO1100079878</t>
  </si>
  <si>
    <t>MO1100079915</t>
  </si>
  <si>
    <t>MO1100079923</t>
  </si>
  <si>
    <t>MO1100079929</t>
  </si>
  <si>
    <t>MO1100079932</t>
  </si>
  <si>
    <t>MO1100079995</t>
  </si>
  <si>
    <t>MO1100080010</t>
  </si>
  <si>
    <t>MO1100080019</t>
  </si>
  <si>
    <t>MO1100080037</t>
  </si>
  <si>
    <t>MO1100080041</t>
  </si>
  <si>
    <t>MO1100080049</t>
  </si>
  <si>
    <t>MO1100080065</t>
  </si>
  <si>
    <t>MO1100080067</t>
  </si>
  <si>
    <t>MO1100080068</t>
  </si>
  <si>
    <t>MO1100080079</t>
  </si>
  <si>
    <t>MO1100080127</t>
  </si>
  <si>
    <t>MO1100080128</t>
  </si>
  <si>
    <t>MO1100080131</t>
  </si>
  <si>
    <t>MO1100080155</t>
  </si>
  <si>
    <t>MO1100080157</t>
  </si>
  <si>
    <t>MO1100080164</t>
  </si>
  <si>
    <t>MO1100080176</t>
  </si>
  <si>
    <t>MO1100080186</t>
  </si>
  <si>
    <t>MO1100080199</t>
  </si>
  <si>
    <t>MO1100080205</t>
  </si>
  <si>
    <t>MO1100080206</t>
  </si>
  <si>
    <t>MO1100080210</t>
  </si>
  <si>
    <t>MO1100080215</t>
  </si>
  <si>
    <t>MO1100080222</t>
  </si>
  <si>
    <t>MO1100080224</t>
  </si>
  <si>
    <t>MO1100080226</t>
  </si>
  <si>
    <t>MO1100080237</t>
  </si>
  <si>
    <t>MO1100080246</t>
  </si>
  <si>
    <t>MO1100080267</t>
  </si>
  <si>
    <t>MO1100080271</t>
  </si>
  <si>
    <t>MO1100080273</t>
  </si>
  <si>
    <t>MO1100080281</t>
  </si>
  <si>
    <t>MO1100080286</t>
  </si>
  <si>
    <t>MO1100080296</t>
  </si>
  <si>
    <t>MO1100080326</t>
  </si>
  <si>
    <t>MO1100080331</t>
  </si>
  <si>
    <t>MO1100080447</t>
  </si>
  <si>
    <t>MO1100080538</t>
  </si>
  <si>
    <t>MO1100080553</t>
  </si>
  <si>
    <t>MO1100080555</t>
  </si>
  <si>
    <t>MO1100080583</t>
  </si>
  <si>
    <t>MO1100080624</t>
  </si>
  <si>
    <t>MO1100080654</t>
  </si>
  <si>
    <t>MO1100080662</t>
  </si>
  <si>
    <t>MO1100080692</t>
  </si>
  <si>
    <t>MO1100080702</t>
  </si>
  <si>
    <t>MO1100080727</t>
  </si>
  <si>
    <t>MO1100080741</t>
  </si>
  <si>
    <t>MO1100080742</t>
  </si>
  <si>
    <t>MO1100080771</t>
  </si>
  <si>
    <t>MO1100080789</t>
  </si>
  <si>
    <t>MO1100080821</t>
  </si>
  <si>
    <t>MO1100080851</t>
  </si>
  <si>
    <t>MO1100080852</t>
  </si>
  <si>
    <t>MO1100080873</t>
  </si>
  <si>
    <t>MO1100080921</t>
  </si>
  <si>
    <t>MO1100080937</t>
  </si>
  <si>
    <t>MO1100080975</t>
  </si>
  <si>
    <t>MO1100080977</t>
  </si>
  <si>
    <t>MO1100080979</t>
  </si>
  <si>
    <t>MO1100080993</t>
  </si>
  <si>
    <t>MO1100081022</t>
  </si>
  <si>
    <t>MO1100081041</t>
  </si>
  <si>
    <t>MO1100081043</t>
  </si>
  <si>
    <t>MO1100081070</t>
  </si>
  <si>
    <t>MO1100081072</t>
  </si>
  <si>
    <t>MO1100081098</t>
  </si>
  <si>
    <t>MO1100081121</t>
  </si>
  <si>
    <t>MO1100081137</t>
  </si>
  <si>
    <t>MO1100081188</t>
  </si>
  <si>
    <t>MO1100081198</t>
  </si>
  <si>
    <t>MO1100081199</t>
  </si>
  <si>
    <t>MO1100081215</t>
  </si>
  <si>
    <t>MO1100081220</t>
  </si>
  <si>
    <t>MO1100081261</t>
  </si>
  <si>
    <t>MO1100081267</t>
  </si>
  <si>
    <t>MO1100081303</t>
  </si>
  <si>
    <t>MO1100081311</t>
  </si>
  <si>
    <t>MO1100081349</t>
  </si>
  <si>
    <t>PA1100033438</t>
  </si>
  <si>
    <t>PA</t>
  </si>
  <si>
    <t>PA1100033464</t>
  </si>
  <si>
    <t>PA1100033469</t>
  </si>
  <si>
    <t>PA1100033661</t>
  </si>
  <si>
    <t>PA1100033748</t>
  </si>
  <si>
    <t>PA1100033871</t>
  </si>
  <si>
    <t>PA1100033874</t>
  </si>
  <si>
    <t>PA1100033876</t>
  </si>
  <si>
    <t>PA1100033950</t>
  </si>
  <si>
    <t>PA1100033989</t>
  </si>
  <si>
    <t>PA1100034012</t>
  </si>
  <si>
    <t>PA1100034014</t>
  </si>
  <si>
    <t>PA1100034020</t>
  </si>
  <si>
    <t>PA1100034098</t>
  </si>
  <si>
    <t>PA1100034180</t>
  </si>
  <si>
    <t>PA1100034196</t>
  </si>
  <si>
    <t>PA1100034270</t>
  </si>
  <si>
    <t>PA1100034291</t>
  </si>
  <si>
    <t>Norman Mundy</t>
  </si>
  <si>
    <t>AL1100047260</t>
  </si>
  <si>
    <t>AL1100047334</t>
  </si>
  <si>
    <t>AL1100047376</t>
  </si>
  <si>
    <t>AL1100047590</t>
  </si>
  <si>
    <t>AL1100047639</t>
  </si>
  <si>
    <t>AL1100047646</t>
  </si>
  <si>
    <t>AL1100047748</t>
  </si>
  <si>
    <t>AL1100047762</t>
  </si>
  <si>
    <t>AL1100047775</t>
  </si>
  <si>
    <t>AL1100047792</t>
  </si>
  <si>
    <t>AL1100047864</t>
  </si>
  <si>
    <t>AL1100047866</t>
  </si>
  <si>
    <t>AL1100047899</t>
  </si>
  <si>
    <t>AL1100047961</t>
  </si>
  <si>
    <t>AL1100048094</t>
  </si>
  <si>
    <t>AL1100048154</t>
  </si>
  <si>
    <t>AL1100048183</t>
  </si>
  <si>
    <t>AL1100048187</t>
  </si>
  <si>
    <t>AL1100048356</t>
  </si>
  <si>
    <t>AL1100048359</t>
  </si>
  <si>
    <t>AL1100048363</t>
  </si>
  <si>
    <t>AL1100048368</t>
  </si>
  <si>
    <t>AL1100048370</t>
  </si>
  <si>
    <t>AL1100048372</t>
  </si>
  <si>
    <t>AL1100048381</t>
  </si>
  <si>
    <t>AL1100048391</t>
  </si>
  <si>
    <t>AL1100048413</t>
  </si>
  <si>
    <t>AL1100048465</t>
  </si>
  <si>
    <t>GA1100003273</t>
  </si>
  <si>
    <t>GA1100003324</t>
  </si>
  <si>
    <t>GA1100003326</t>
  </si>
  <si>
    <t>GA1100003328</t>
  </si>
  <si>
    <t>GA1100003330</t>
  </si>
  <si>
    <t>GA1100003332</t>
  </si>
  <si>
    <t>GA1100003333</t>
  </si>
  <si>
    <t>GA1100003356</t>
  </si>
  <si>
    <t>GA1100003388</t>
  </si>
  <si>
    <t>GA1100003417</t>
  </si>
  <si>
    <t>IN1100024811</t>
  </si>
  <si>
    <t>IN1100024838</t>
  </si>
  <si>
    <t>IN1100025035</t>
  </si>
  <si>
    <t>IN1100025129</t>
  </si>
  <si>
    <t>KS1100009564</t>
  </si>
  <si>
    <t>KS1100009636</t>
  </si>
  <si>
    <t>KS1100009652</t>
  </si>
  <si>
    <t>KS1100009674</t>
  </si>
  <si>
    <t>KS1100009676</t>
  </si>
  <si>
    <t>KS1100009702</t>
  </si>
  <si>
    <t>KS1100009745</t>
  </si>
  <si>
    <t>KS1100009792</t>
  </si>
  <si>
    <t>KS6100000519</t>
  </si>
  <si>
    <t>LA1100017863</t>
  </si>
  <si>
    <t>LA</t>
  </si>
  <si>
    <t>LA1100017872</t>
  </si>
  <si>
    <t>LA1100018147</t>
  </si>
  <si>
    <t>LA2100001684</t>
  </si>
  <si>
    <t>Fiber Internet+Fiber Voice</t>
  </si>
  <si>
    <t>MO1100079717</t>
  </si>
  <si>
    <t>MO1100079845</t>
  </si>
  <si>
    <t>MO1100079876</t>
  </si>
  <si>
    <t>MO1100079925</t>
  </si>
  <si>
    <t>MO1100079937</t>
  </si>
  <si>
    <t>MO1100079938</t>
  </si>
  <si>
    <t>MO1100080001</t>
  </si>
  <si>
    <t>MO1100080661</t>
  </si>
  <si>
    <t>MO1100080838</t>
  </si>
  <si>
    <t>MO1100080917</t>
  </si>
  <si>
    <t>MO1100081274</t>
  </si>
  <si>
    <t>MS1100000609</t>
  </si>
  <si>
    <t>MS</t>
  </si>
  <si>
    <t>NC1100167586</t>
  </si>
  <si>
    <t>NC1100167599</t>
  </si>
  <si>
    <t>NC1100167601</t>
  </si>
  <si>
    <t>NC1100167655</t>
  </si>
  <si>
    <t>NC1100167666</t>
  </si>
  <si>
    <t>NC1100167700</t>
  </si>
  <si>
    <t>NC1100167713</t>
  </si>
  <si>
    <t>NC1100167715</t>
  </si>
  <si>
    <t>NC1100167750</t>
  </si>
  <si>
    <t>NC1100167763</t>
  </si>
  <si>
    <t>NC1100167886</t>
  </si>
  <si>
    <t>NC1100167937</t>
  </si>
  <si>
    <t>NC1100167940</t>
  </si>
  <si>
    <t>NC1100168024</t>
  </si>
  <si>
    <t>NC1100168026</t>
  </si>
  <si>
    <t>NC1100168059</t>
  </si>
  <si>
    <t>NC1100168070</t>
  </si>
  <si>
    <t>NC1100168080</t>
  </si>
  <si>
    <t>NC1100168095</t>
  </si>
  <si>
    <t>NC1100168209</t>
  </si>
  <si>
    <t>NC1100168211</t>
  </si>
  <si>
    <t>NC1100168303</t>
  </si>
  <si>
    <t>NC1100168424</t>
  </si>
  <si>
    <t>NC1100168450</t>
  </si>
  <si>
    <t>NC1100168501</t>
  </si>
  <si>
    <t>NC1100168661</t>
  </si>
  <si>
    <t>NC1100168673</t>
  </si>
  <si>
    <t>NC1100168716</t>
  </si>
  <si>
    <t>NC1100168723</t>
  </si>
  <si>
    <t>NC1100168783</t>
  </si>
  <si>
    <t>NC1100168785</t>
  </si>
  <si>
    <t>NC1100168802</t>
  </si>
  <si>
    <t>NC1100168824</t>
  </si>
  <si>
    <t>NC1100168856</t>
  </si>
  <si>
    <t>NC1100169031</t>
  </si>
  <si>
    <t>NC1100169058</t>
  </si>
  <si>
    <t>NC1100169072</t>
  </si>
  <si>
    <t>NC1100169164</t>
  </si>
  <si>
    <t>NC1100169169</t>
  </si>
  <si>
    <t>NC1100169430</t>
  </si>
  <si>
    <t>NC1100169434</t>
  </si>
  <si>
    <t>NC1100169435</t>
  </si>
  <si>
    <t>NC1100169470</t>
  </si>
  <si>
    <t>NC1100169474</t>
  </si>
  <si>
    <t>NC1100169611</t>
  </si>
  <si>
    <t>NC1100169619</t>
  </si>
  <si>
    <t>NC1100169621</t>
  </si>
  <si>
    <t>NC1100169640</t>
  </si>
  <si>
    <t>NC1100169651</t>
  </si>
  <si>
    <t>NC1100169664</t>
  </si>
  <si>
    <t>NC1100169690</t>
  </si>
  <si>
    <t>NC1100169726</t>
  </si>
  <si>
    <t>NC1100169737</t>
  </si>
  <si>
    <t>NC1100169748</t>
  </si>
  <si>
    <t>NC1100169761</t>
  </si>
  <si>
    <t>NC1100169765</t>
  </si>
  <si>
    <t>NC1100169801</t>
  </si>
  <si>
    <t>NC1100169850</t>
  </si>
  <si>
    <t>NC1100169861</t>
  </si>
  <si>
    <t>NC1100169869</t>
  </si>
  <si>
    <t>NC1100169944</t>
  </si>
  <si>
    <t>NC1100169985</t>
  </si>
  <si>
    <t>NC1100169995</t>
  </si>
  <si>
    <t>NC1100170000</t>
  </si>
  <si>
    <t>NC1100170124</t>
  </si>
  <si>
    <t>NC1100170138</t>
  </si>
  <si>
    <t>NC1100170193</t>
  </si>
  <si>
    <t>NC1100170198</t>
  </si>
  <si>
    <t>NC1100170208</t>
  </si>
  <si>
    <t>NC1100170213</t>
  </si>
  <si>
    <t>NC1100170235</t>
  </si>
  <si>
    <t>NC1100170300</t>
  </si>
  <si>
    <t>NC1100170311</t>
  </si>
  <si>
    <t>NC1100170333</t>
  </si>
  <si>
    <t>NC1100170344</t>
  </si>
  <si>
    <t>NC1100170380</t>
  </si>
  <si>
    <t>NC1100170457</t>
  </si>
  <si>
    <t>NC1100170504</t>
  </si>
  <si>
    <t>NC1100170551</t>
  </si>
  <si>
    <t>NC1100170595</t>
  </si>
  <si>
    <t>NC1100170620</t>
  </si>
  <si>
    <t>NC1100170705</t>
  </si>
  <si>
    <t>NC1100170707</t>
  </si>
  <si>
    <t>NC1100170710</t>
  </si>
  <si>
    <t>NC1100170729</t>
  </si>
  <si>
    <t>NC1100170804</t>
  </si>
  <si>
    <t>NC1100170819</t>
  </si>
  <si>
    <t>NC1100170820</t>
  </si>
  <si>
    <t>NC1100170983</t>
  </si>
  <si>
    <t>NC1100170988</t>
  </si>
  <si>
    <t>NC1100171081</t>
  </si>
  <si>
    <t>NC1100171089</t>
  </si>
  <si>
    <t>NC1100171090</t>
  </si>
  <si>
    <t>NC1100171143</t>
  </si>
  <si>
    <t>NC1100171149</t>
  </si>
  <si>
    <t>NC1100171180</t>
  </si>
  <si>
    <t>NC1100171211</t>
  </si>
  <si>
    <t>NC1100171255</t>
  </si>
  <si>
    <t>NC1100171285</t>
  </si>
  <si>
    <t>NC1100171302</t>
  </si>
  <si>
    <t>NC1100171317</t>
  </si>
  <si>
    <t>NC1100171331</t>
  </si>
  <si>
    <t>NC1100171339</t>
  </si>
  <si>
    <t>NC1100171363</t>
  </si>
  <si>
    <t>NC1100171444</t>
  </si>
  <si>
    <t>NC1100171446</t>
  </si>
  <si>
    <t>NC1100171459</t>
  </si>
  <si>
    <t>NC1100171466</t>
  </si>
  <si>
    <t>NC1100171499</t>
  </si>
  <si>
    <t>NC1100171503</t>
  </si>
  <si>
    <t>NC1100171525</t>
  </si>
  <si>
    <t>NC1100171647</t>
  </si>
  <si>
    <t>NC1100171665</t>
  </si>
  <si>
    <t>NC1100171785</t>
  </si>
  <si>
    <t>NC1100171805</t>
  </si>
  <si>
    <t>NC1100171830</t>
  </si>
  <si>
    <t>NC1100171878</t>
  </si>
  <si>
    <t>NC1100171926</t>
  </si>
  <si>
    <t>NC1100171944</t>
  </si>
  <si>
    <t>NC1100171969</t>
  </si>
  <si>
    <t>NC1100171970</t>
  </si>
  <si>
    <t>NC1100171975</t>
  </si>
  <si>
    <t>NC1100172025</t>
  </si>
  <si>
    <t>NC1100172038</t>
  </si>
  <si>
    <t>NC1100172055</t>
  </si>
  <si>
    <t>NC1100172090</t>
  </si>
  <si>
    <t>NC1100172230</t>
  </si>
  <si>
    <t>NC1100172235</t>
  </si>
  <si>
    <t>NC2100017011</t>
  </si>
  <si>
    <t>NC2100017048</t>
  </si>
  <si>
    <t>NC2100017087</t>
  </si>
  <si>
    <t>NC2100017126</t>
  </si>
  <si>
    <t>fQF Internet+fQF Voice+Value Added Services</t>
  </si>
  <si>
    <t>NC2100017198</t>
  </si>
  <si>
    <t>BrightSpeed Internet+BrightSpeed Voice+Value Added Services</t>
  </si>
  <si>
    <t>NC4100008853</t>
  </si>
  <si>
    <t>4G LTE+4G LTE DATA</t>
  </si>
  <si>
    <t>NC6100003869</t>
  </si>
  <si>
    <t>NC6100003873</t>
  </si>
  <si>
    <t>NJ1100008160</t>
  </si>
  <si>
    <t>OH1100067453</t>
  </si>
  <si>
    <t>OH1100067830</t>
  </si>
  <si>
    <t>OH1100068181</t>
  </si>
  <si>
    <t>OH1100068434</t>
  </si>
  <si>
    <t>OH1100068633</t>
  </si>
  <si>
    <t>PA1100033660</t>
  </si>
  <si>
    <t>PA1100033801</t>
  </si>
  <si>
    <t>PA1100033895</t>
  </si>
  <si>
    <t>PA1100033944</t>
  </si>
  <si>
    <t>PA1100034015</t>
  </si>
  <si>
    <t>SC1100014227</t>
  </si>
  <si>
    <t>SC1100014277</t>
  </si>
  <si>
    <t>SC1100014281</t>
  </si>
  <si>
    <t>SC1100014308</t>
  </si>
  <si>
    <t>SC1100014391</t>
  </si>
  <si>
    <t>SC1100014463</t>
  </si>
  <si>
    <t>SC1100014487</t>
  </si>
  <si>
    <t>SC1100014501</t>
  </si>
  <si>
    <t>SC1100014586</t>
  </si>
  <si>
    <t>SC1100014602</t>
  </si>
  <si>
    <t>SC1100014626</t>
  </si>
  <si>
    <t>SC1100014628</t>
  </si>
  <si>
    <t>SC1100014629</t>
  </si>
  <si>
    <t>SC1100014652</t>
  </si>
  <si>
    <t>SC1100014677</t>
  </si>
  <si>
    <t>SC6100000636</t>
  </si>
  <si>
    <t>TN1100032405</t>
  </si>
  <si>
    <t>TN1100033083</t>
  </si>
  <si>
    <t>TX1100043797</t>
  </si>
  <si>
    <t>TX1100043805</t>
  </si>
  <si>
    <t>TX1100043820</t>
  </si>
  <si>
    <t>TX1100043827</t>
  </si>
  <si>
    <t>TX1100043887</t>
  </si>
  <si>
    <t>TX1100043941</t>
  </si>
  <si>
    <t>TX1100044061</t>
  </si>
  <si>
    <t>TX1100044157</t>
  </si>
  <si>
    <t>TX1100044189</t>
  </si>
  <si>
    <t>TX1100044270</t>
  </si>
  <si>
    <t>TX1100044271</t>
  </si>
  <si>
    <t>TX1100044297</t>
  </si>
  <si>
    <t>TX1100044310</t>
  </si>
  <si>
    <t>TX1100044368</t>
  </si>
  <si>
    <t>TX1100044437</t>
  </si>
  <si>
    <t>TX1100044562</t>
  </si>
  <si>
    <t>TX1100044571</t>
  </si>
  <si>
    <t>TX1100044597</t>
  </si>
  <si>
    <t>TX1100044610</t>
  </si>
  <si>
    <t>TX1100044677</t>
  </si>
  <si>
    <t>TX1100044898</t>
  </si>
  <si>
    <t>TX1100044908</t>
  </si>
  <si>
    <t>TX1100044926</t>
  </si>
  <si>
    <t>TX1100044967</t>
  </si>
  <si>
    <t>TX1100045014</t>
  </si>
  <si>
    <t>TX1100045021</t>
  </si>
  <si>
    <t>TX1100045076</t>
  </si>
  <si>
    <t>TX1100045105</t>
  </si>
  <si>
    <t>TX1100045387</t>
  </si>
  <si>
    <t>TX1100045474</t>
  </si>
  <si>
    <t>TX1100045629</t>
  </si>
  <si>
    <t>TX1100045634</t>
  </si>
  <si>
    <t>TX1100045652</t>
  </si>
  <si>
    <t>TX1100045777</t>
  </si>
  <si>
    <t>TX1100045870</t>
  </si>
  <si>
    <t>TX1100046085</t>
  </si>
  <si>
    <t>TX1100046111</t>
  </si>
  <si>
    <t>TX1100046209</t>
  </si>
  <si>
    <t>TX2100002162</t>
  </si>
  <si>
    <t>TX2100002180</t>
  </si>
  <si>
    <t>DSL+POTS</t>
  </si>
  <si>
    <t>VA1100025132</t>
  </si>
  <si>
    <t>VA1100025474</t>
  </si>
  <si>
    <t>TSR Name</t>
  </si>
  <si>
    <t>MMM-YY</t>
  </si>
  <si>
    <t>Freddy Morales</t>
  </si>
  <si>
    <t>Applied filters:
MMM-YY is on or after Feb-23
ParamMeasure is Penetration
TSR is Freddy Morales, Joseph Buckles, Karsten Freeman, or Norman Mundy
Qual_mo 2/18/2024 - 2/17/2026
ParamDimension is TSR
ParameterMeasure_RS is Penetration
MMM-YY 2/18/2024 - 2/17/2026
PRPTY_ID_FILTER is not (Blank)
Account_class is Consumer</t>
  </si>
  <si>
    <t>Date</t>
  </si>
  <si>
    <t>Exclusive Marketing with BS NOW removed</t>
  </si>
  <si>
    <t>Contracted Units</t>
  </si>
  <si>
    <t>Rate</t>
  </si>
  <si>
    <t>Commission</t>
  </si>
  <si>
    <t>Exclusive</t>
  </si>
  <si>
    <t>% to TSI</t>
  </si>
  <si>
    <t>Units Target</t>
  </si>
  <si>
    <t>Units Attain</t>
  </si>
  <si>
    <t>Shared</t>
  </si>
  <si>
    <t>Rate Table</t>
  </si>
  <si>
    <t>Row Labels</t>
  </si>
  <si>
    <t>Grand Total</t>
  </si>
  <si>
    <t>Count of [ORDER #]</t>
  </si>
  <si>
    <t>BEA Only</t>
  </si>
  <si>
    <t>Agreement</t>
  </si>
  <si>
    <t>Access Agreement</t>
  </si>
  <si>
    <t>Bulk Agreement</t>
  </si>
  <si>
    <t>Adam Sivertson</t>
  </si>
  <si>
    <t>Amir Planes</t>
  </si>
  <si>
    <t>Constance James</t>
  </si>
  <si>
    <t>Steve Norris</t>
  </si>
  <si>
    <t>Jason Herdrich</t>
  </si>
  <si>
    <t>Offer Type</t>
  </si>
  <si>
    <t>Field Overbuild</t>
  </si>
  <si>
    <t>Total Units</t>
  </si>
  <si>
    <t>Opportunity Owner</t>
  </si>
  <si>
    <t>GUND BREWERY LOFTS (AFFORDABLE)-</t>
  </si>
  <si>
    <t>1</t>
  </si>
  <si>
    <t>1/29/2026, 12:00 PM</t>
  </si>
  <si>
    <t>Grand River Station Apartments</t>
  </si>
  <si>
    <t>Castle Place-SMA</t>
  </si>
  <si>
    <t>0</t>
  </si>
  <si>
    <t>1/30/2026, 12:00 PM</t>
  </si>
  <si>
    <t>Alder Grove PH2</t>
  </si>
  <si>
    <t>1/14/2026, 12:00 PM</t>
  </si>
  <si>
    <t>Brightman's Farm PH2</t>
  </si>
  <si>
    <t>1/28/2026, 12:00 PM</t>
  </si>
  <si>
    <t>Islands of Beaufort</t>
  </si>
  <si>
    <t>Sandpiper Apartments</t>
  </si>
  <si>
    <t>1/9/2026, 12:00 PM</t>
  </si>
  <si>
    <t>Glenbriar MHP</t>
  </si>
  <si>
    <t>1/15/2026, 12:00 PM</t>
  </si>
  <si>
    <t>Mission Cedar Village</t>
  </si>
  <si>
    <t>1/7/2026, 12:00 PM</t>
  </si>
  <si>
    <t>Academy Village TH</t>
  </si>
  <si>
    <t>Harpers Meadows BSO</t>
  </si>
  <si>
    <t>Lotus Ridge</t>
  </si>
  <si>
    <t>The Exchage at Vass MDU</t>
  </si>
  <si>
    <t>Amberly Townhomes-BSO Gibsonville</t>
  </si>
  <si>
    <t>Hillview</t>
  </si>
  <si>
    <t>The Luxe</t>
  </si>
  <si>
    <t>1/26/2026, 12:00 PM</t>
  </si>
  <si>
    <t>Oakwood Apartments</t>
  </si>
  <si>
    <t>The Valley at Great Hills Phase 4</t>
  </si>
  <si>
    <t>Cedarvale MHC</t>
  </si>
  <si>
    <t>The Reserve at Skyline Mountain Phase 2</t>
  </si>
  <si>
    <t>Camden Ridge</t>
  </si>
  <si>
    <t>COOPER STREET APARTMENTS</t>
  </si>
  <si>
    <t>1/5/2026, 12:00 PM</t>
  </si>
  <si>
    <t>Fernandes Homes</t>
  </si>
  <si>
    <t>Poplar Forest I - PP</t>
  </si>
  <si>
    <t>1/21/2026, 12:00 PM</t>
  </si>
  <si>
    <t>Poplar Forest II - PP</t>
  </si>
  <si>
    <t>Parc Crest at Poplar Forest - PP</t>
  </si>
  <si>
    <t>Agreement Count</t>
  </si>
  <si>
    <t>Evaluation</t>
  </si>
  <si>
    <t>Total Agreements</t>
  </si>
  <si>
    <t>Tot Agreements</t>
  </si>
  <si>
    <t>Portfolio Contribution</t>
  </si>
  <si>
    <t>Jan Paid</t>
  </si>
  <si>
    <t>Feb Model</t>
  </si>
  <si>
    <t>Jan Model</t>
  </si>
  <si>
    <t>Jan Var</t>
  </si>
  <si>
    <t>Name TBD</t>
  </si>
  <si>
    <t>WireCenter Name</t>
  </si>
  <si>
    <t>WireCenter ID</t>
  </si>
  <si>
    <t>Sales</t>
  </si>
  <si>
    <t>Target</t>
  </si>
  <si>
    <t>% Attain</t>
  </si>
  <si>
    <t>TSR (MDU)</t>
  </si>
  <si>
    <t>TSR (SFU)</t>
  </si>
  <si>
    <t>new hire TBD</t>
  </si>
  <si>
    <t>TSR Units Sold (TSR MDU)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</si>
  <si>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</si>
  <si>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</si>
  <si>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</si>
  <si>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</si>
  <si>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</si>
  <si>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</si>
  <si>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</si>
  <si>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</si>
  <si>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</si>
  <si>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</si>
  <si>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</si>
  <si>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</si>
  <si>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TSR Units Sold (TSR SFU)</t>
  </si>
  <si>
    <t>&gt; sum of targets of the team</t>
  </si>
  <si>
    <t>Headcount</t>
  </si>
  <si>
    <t>&gt; % new month over % prior month (baseline) -- % Change</t>
  </si>
  <si>
    <t>TSR MDU</t>
  </si>
  <si>
    <t>TSR SFU</t>
  </si>
  <si>
    <t>Jan Pen</t>
  </si>
  <si>
    <t>Feb Pen</t>
  </si>
  <si>
    <t>Change</t>
  </si>
  <si>
    <t>TSI Sales</t>
  </si>
  <si>
    <t>Sales Comm</t>
  </si>
  <si>
    <t>TSI Pen</t>
  </si>
  <si>
    <t>Pen Change</t>
  </si>
  <si>
    <t>Pen Comm</t>
  </si>
  <si>
    <t>Tot Comm</t>
  </si>
  <si>
    <t>FEBRUARY MODEL</t>
  </si>
  <si>
    <t>Jan Sales</t>
  </si>
  <si>
    <t>JANUARY MODEL</t>
  </si>
  <si>
    <t>AE: Units Contracted</t>
  </si>
  <si>
    <t>Attain</t>
  </si>
  <si>
    <t>Attain %</t>
  </si>
  <si>
    <t>JAN MODEL</t>
  </si>
  <si>
    <t>FEB MODEL</t>
  </si>
  <si>
    <t>Paid in Jan</t>
  </si>
  <si>
    <t>Var</t>
  </si>
  <si>
    <t>AE Plan</t>
  </si>
  <si>
    <t>TSR Plan</t>
  </si>
  <si>
    <t>DIR PLAN</t>
  </si>
  <si>
    <t>Megan</t>
  </si>
  <si>
    <t>Director</t>
  </si>
  <si>
    <t>Employee Name</t>
  </si>
  <si>
    <t>LOB</t>
  </si>
  <si>
    <t>Position</t>
  </si>
  <si>
    <t>CT/MDU</t>
  </si>
  <si>
    <t>Account Manager</t>
  </si>
  <si>
    <t>Market growth specialist/ Account Manager</t>
  </si>
  <si>
    <t>Megan Orf</t>
  </si>
  <si>
    <t>Director MDU &amp; Communitities</t>
  </si>
  <si>
    <t>Manager TSR</t>
  </si>
  <si>
    <t>David Cutcher</t>
  </si>
  <si>
    <t>Sr Mgr, Community Accounts and engagement</t>
  </si>
  <si>
    <t>Larry Foster</t>
  </si>
  <si>
    <t>Natl Mgr, community fiber expansion</t>
  </si>
  <si>
    <t>termed</t>
  </si>
  <si>
    <t>Connie Williams</t>
  </si>
  <si>
    <t>Sales Engineer II</t>
  </si>
  <si>
    <t>Moved to AIP 08/01</t>
  </si>
  <si>
    <t>Tommy Weaver</t>
  </si>
  <si>
    <t>Jared Davis</t>
  </si>
  <si>
    <t>Kelly Kaufman</t>
  </si>
  <si>
    <t>Vince Fletcher</t>
  </si>
  <si>
    <t>Calvin Raymond</t>
  </si>
  <si>
    <t>Owen Stevens</t>
  </si>
  <si>
    <t>[Account]</t>
  </si>
  <si>
    <t>[Opportunity]</t>
  </si>
  <si>
    <t>[Offer #]</t>
  </si>
  <si>
    <t>[Sub Type]</t>
  </si>
  <si>
    <t>[Contract Status]</t>
  </si>
  <si>
    <t>[Contract Executed Date]</t>
  </si>
  <si>
    <t>Nash Portfolio LLC/Bailey MHP LLC</t>
  </si>
  <si>
    <t>Bailey MHP</t>
  </si>
  <si>
    <t>New Service</t>
  </si>
  <si>
    <t>CIRCLE H HOLDINGS, LLC</t>
  </si>
  <si>
    <t>Lone Star Prairie</t>
  </si>
  <si>
    <t>JJR Development, LLC</t>
  </si>
  <si>
    <t>Savannah Place</t>
  </si>
  <si>
    <t>OR-057292</t>
  </si>
  <si>
    <t>EMH Cattle Company</t>
  </si>
  <si>
    <t>Oak Tree East Apartments</t>
  </si>
  <si>
    <t>OR-057354</t>
  </si>
  <si>
    <t>Fullingim Developments, LLC</t>
  </si>
  <si>
    <t>Park 19</t>
  </si>
  <si>
    <t>Jones Estates The Oaks LLC</t>
  </si>
  <si>
    <t>The Oaks</t>
  </si>
  <si>
    <t>DR Horton, Inc.</t>
  </si>
  <si>
    <t>Iron Horse</t>
  </si>
  <si>
    <t>Jones Estates Rolling Valley PA LLC</t>
  </si>
  <si>
    <t>Rolling Valley Estates</t>
  </si>
  <si>
    <t>Jones Estates Pinehurst Manor PA LLC</t>
  </si>
  <si>
    <t>Pinehurst Manor</t>
  </si>
  <si>
    <t>Jones Estates Woodland Meadows PA LLC</t>
  </si>
  <si>
    <t>Woodland Meadows</t>
  </si>
  <si>
    <t>[Wirecenter Name]</t>
  </si>
  <si>
    <t>[Wirecenter ID]</t>
  </si>
  <si>
    <t>PELL CITY</t>
  </si>
  <si>
    <t>PLCYALXA</t>
  </si>
  <si>
    <t>FOLEY</t>
  </si>
  <si>
    <t>FOLYALXA</t>
  </si>
  <si>
    <t>ROBERTSDALE</t>
  </si>
  <si>
    <t>RBDLALXA</t>
  </si>
  <si>
    <t>ORANGE BEACH</t>
  </si>
  <si>
    <t>ORBHALXA</t>
  </si>
  <si>
    <t>GULF SHORES</t>
  </si>
  <si>
    <t>ANDALUSIA</t>
  </si>
  <si>
    <t>ANDSALXA</t>
  </si>
  <si>
    <t>AL1100048548</t>
  </si>
  <si>
    <t>AL1100048588</t>
  </si>
  <si>
    <t>AL1100048592</t>
  </si>
  <si>
    <t>AL1100048605</t>
  </si>
  <si>
    <t>2026-02-18T00:00:00</t>
  </si>
  <si>
    <t>AL1100048638</t>
  </si>
  <si>
    <t>AL1100048686</t>
  </si>
  <si>
    <t>CABOT</t>
  </si>
  <si>
    <t>CABTARXA</t>
  </si>
  <si>
    <t>AR1100036054</t>
  </si>
  <si>
    <t>HILLSBOROUGH</t>
  </si>
  <si>
    <t>BLMDNJXH</t>
  </si>
  <si>
    <t>WHITEHOUSE STATION</t>
  </si>
  <si>
    <t>WHHSNJXJ</t>
  </si>
  <si>
    <t>NJ1100008247</t>
  </si>
  <si>
    <t>KILLEEN</t>
  </si>
  <si>
    <t>KLLNTXXC</t>
  </si>
  <si>
    <t>PALESTINE</t>
  </si>
  <si>
    <t>PLSTTXXA</t>
  </si>
  <si>
    <t>STEPHENVILLE</t>
  </si>
  <si>
    <t>STVLTXXB</t>
  </si>
  <si>
    <t>KLLNTXXA</t>
  </si>
  <si>
    <t>DENTON</t>
  </si>
  <si>
    <t>LKDLTXXA</t>
  </si>
  <si>
    <t>KRUM</t>
  </si>
  <si>
    <t>KRUMTXXA</t>
  </si>
  <si>
    <t>HUMBLE</t>
  </si>
  <si>
    <t>ATASTXXA</t>
  </si>
  <si>
    <t>KEMP</t>
  </si>
  <si>
    <t>KEMPTXXA</t>
  </si>
  <si>
    <t>HUTTO</t>
  </si>
  <si>
    <t>HUTTTXXA</t>
  </si>
  <si>
    <t>NEW CANEY</t>
  </si>
  <si>
    <t>PTERTXXA</t>
  </si>
  <si>
    <t>HARKER HEIGHTS</t>
  </si>
  <si>
    <t>NLVLTXXA</t>
  </si>
  <si>
    <t>EUSTACE</t>
  </si>
  <si>
    <t>ESTCTXXA</t>
  </si>
  <si>
    <t>KAUFMAN</t>
  </si>
  <si>
    <t>KFMNTXXA</t>
  </si>
  <si>
    <t>TX1100046376</t>
  </si>
  <si>
    <t>TX1100046382</t>
  </si>
  <si>
    <t>TX1100046431</t>
  </si>
  <si>
    <t>TX1100046441</t>
  </si>
  <si>
    <t>TX1100046475</t>
  </si>
  <si>
    <t>TX1100046541</t>
  </si>
  <si>
    <t>TX1100046553</t>
  </si>
  <si>
    <t>TX1100046558</t>
  </si>
  <si>
    <t>TX1100046574</t>
  </si>
  <si>
    <t>TX1100046590</t>
  </si>
  <si>
    <t>TX1100046605</t>
  </si>
  <si>
    <t>2026-02-19T00:00:00</t>
  </si>
  <si>
    <t>TX1100046628</t>
  </si>
  <si>
    <t>MABANK</t>
  </si>
  <si>
    <t>GBCYTXXA</t>
  </si>
  <si>
    <t>LA CROSSE</t>
  </si>
  <si>
    <t>LCRSWIXC</t>
  </si>
  <si>
    <t>ONALASKA</t>
  </si>
  <si>
    <t>LCRSWIXA</t>
  </si>
  <si>
    <t>LCRSWIXB</t>
  </si>
  <si>
    <t>HLMNWIXA</t>
  </si>
  <si>
    <t>TOMAH</t>
  </si>
  <si>
    <t>TOMAWIXA</t>
  </si>
  <si>
    <t>PLATTEVILLE</t>
  </si>
  <si>
    <t>PTVLWIXA</t>
  </si>
  <si>
    <t>PINE RIVER</t>
  </si>
  <si>
    <t>PYSPWIXA</t>
  </si>
  <si>
    <t>HOLMEN</t>
  </si>
  <si>
    <t>HINESVILLE</t>
  </si>
  <si>
    <t>HNVLGAXA</t>
  </si>
  <si>
    <t>COLUMBIA CITY</t>
  </si>
  <si>
    <t>CBCYINXA</t>
  </si>
  <si>
    <t>LAKEVILLE</t>
  </si>
  <si>
    <t>LAPZINXA</t>
  </si>
  <si>
    <t>IN1100025170</t>
  </si>
  <si>
    <t>IN1100025175</t>
  </si>
  <si>
    <t>SYRACUSE</t>
  </si>
  <si>
    <t>SYRCINXA</t>
  </si>
  <si>
    <t>IN1100025185</t>
  </si>
  <si>
    <t>IN1100025188</t>
  </si>
  <si>
    <t>IN1100025192</t>
  </si>
  <si>
    <t>WARSAW</t>
  </si>
  <si>
    <t>WRSWINXA</t>
  </si>
  <si>
    <t>IN1100025211</t>
  </si>
  <si>
    <t>KINSTON</t>
  </si>
  <si>
    <t>KSTNNCXA</t>
  </si>
  <si>
    <t>NEW BERN</t>
  </si>
  <si>
    <t>NWBRNCXA</t>
  </si>
  <si>
    <t>PITTSBORO</t>
  </si>
  <si>
    <t>PTBONCXA</t>
  </si>
  <si>
    <t>HOLLY SPRINGS</t>
  </si>
  <si>
    <t>FQVRNCXA</t>
  </si>
  <si>
    <t>PINEHURST</t>
  </si>
  <si>
    <t>SPNSNCXA</t>
  </si>
  <si>
    <t>WAKE FOREST</t>
  </si>
  <si>
    <t>WKFSNCXA</t>
  </si>
  <si>
    <t>YOUNGSVILLE</t>
  </si>
  <si>
    <t>SPRING LAKE</t>
  </si>
  <si>
    <t>FYVLNCXD</t>
  </si>
  <si>
    <t>KERNERSVILLE</t>
  </si>
  <si>
    <t>KRVLNCXA</t>
  </si>
  <si>
    <t>GREENVILLE</t>
  </si>
  <si>
    <t>GNVLNCXA</t>
  </si>
  <si>
    <t>FUQUAY VARINA</t>
  </si>
  <si>
    <t>HENDERSON</t>
  </si>
  <si>
    <t>HNSNNCXA</t>
  </si>
  <si>
    <t>LILLINGTON</t>
  </si>
  <si>
    <t>LLTNNCXA</t>
  </si>
  <si>
    <t>GNVLNCXB</t>
  </si>
  <si>
    <t>KILL DEVIL HILLS</t>
  </si>
  <si>
    <t>KDHLNCXA</t>
  </si>
  <si>
    <t>NASHVILLE</t>
  </si>
  <si>
    <t>NSVLNCXA</t>
  </si>
  <si>
    <t>WILSON</t>
  </si>
  <si>
    <t>WLSNNCXA</t>
  </si>
  <si>
    <t>COATS</t>
  </si>
  <si>
    <t>DUNNNCXB</t>
  </si>
  <si>
    <t>NC1100172266</t>
  </si>
  <si>
    <t>NC1100172315</t>
  </si>
  <si>
    <t>NC1100172586</t>
  </si>
  <si>
    <t>NC1100172602</t>
  </si>
  <si>
    <t>NC1100172639</t>
  </si>
  <si>
    <t>SMITHFIELD</t>
  </si>
  <si>
    <t>SMFDNCXA</t>
  </si>
  <si>
    <t>NC1100172789</t>
  </si>
  <si>
    <t>TARBORO</t>
  </si>
  <si>
    <t>TRBONCXA</t>
  </si>
  <si>
    <t>NC1100172919</t>
  </si>
  <si>
    <t>LORAIN</t>
  </si>
  <si>
    <t>LORNOHXC</t>
  </si>
  <si>
    <t>MOUNT VERNON</t>
  </si>
  <si>
    <t>MTVROHXA</t>
  </si>
  <si>
    <t>LORNOHXB</t>
  </si>
  <si>
    <t>CORTLAND</t>
  </si>
  <si>
    <t>WRRNOHXB</t>
  </si>
  <si>
    <t>MANSFIELD</t>
  </si>
  <si>
    <t>LXTNOHXA</t>
  </si>
  <si>
    <t>WATERVILLE</t>
  </si>
  <si>
    <t>WTVLOHXA</t>
  </si>
  <si>
    <t>LORNOHXA</t>
  </si>
  <si>
    <t>BELLEFONTAINE</t>
  </si>
  <si>
    <t>BLLFOHXA</t>
  </si>
  <si>
    <t>OH1100069057</t>
  </si>
  <si>
    <t>OH1100069131</t>
  </si>
  <si>
    <t>OH1100069156</t>
  </si>
  <si>
    <t>BEAUFORT</t>
  </si>
  <si>
    <t>BUFTSCXA</t>
  </si>
  <si>
    <t>GREENWOOD</t>
  </si>
  <si>
    <t>GNWDSCXC</t>
  </si>
  <si>
    <t>ESTILL</t>
  </si>
  <si>
    <t>ESTLSCXA</t>
  </si>
  <si>
    <t>JOHNSON CITY</t>
  </si>
  <si>
    <t>JHCYTNXC</t>
  </si>
  <si>
    <t>TN1100033373</t>
  </si>
  <si>
    <t>ELIZABETHTON</t>
  </si>
  <si>
    <t>ELTNTNXA</t>
  </si>
  <si>
    <t>TN1100033438</t>
  </si>
  <si>
    <t>LEXINGTON</t>
  </si>
  <si>
    <t>LXTNVAXA</t>
  </si>
  <si>
    <t>CHARLOTTESVILLE</t>
  </si>
  <si>
    <t>CHVLVAXA</t>
  </si>
  <si>
    <t>WOODLAWN</t>
  </si>
  <si>
    <t>GALXVAXA</t>
  </si>
  <si>
    <t>VA1100025580</t>
  </si>
  <si>
    <t>VA1100025626</t>
  </si>
  <si>
    <t>VA1100025627</t>
  </si>
  <si>
    <t>BARBOURSVILLE</t>
  </si>
  <si>
    <t>SDVLVAXA</t>
  </si>
  <si>
    <t>GARDNER</t>
  </si>
  <si>
    <t>GRNRKSXA</t>
  </si>
  <si>
    <t>SPRING HILL</t>
  </si>
  <si>
    <t>SPHLKSXA</t>
  </si>
  <si>
    <t>OLATHE</t>
  </si>
  <si>
    <t>KS1100009843</t>
  </si>
  <si>
    <t>KS1100009844</t>
  </si>
  <si>
    <t>KS1100009854</t>
  </si>
  <si>
    <t>COLUMBIA</t>
  </si>
  <si>
    <t>CLMAMOXA</t>
  </si>
  <si>
    <t>O FALLON</t>
  </si>
  <si>
    <t>DRDNMOXA</t>
  </si>
  <si>
    <t>WARRENSBURG</t>
  </si>
  <si>
    <t>WRBGMOXA</t>
  </si>
  <si>
    <t>LAKE SAINT LOUIS</t>
  </si>
  <si>
    <t>JEFFERSON CITY</t>
  </si>
  <si>
    <t>JFCYMOXA</t>
  </si>
  <si>
    <t>SAINT PETERS</t>
  </si>
  <si>
    <t>STPRMOXA</t>
  </si>
  <si>
    <t>MOSCOW MILLS</t>
  </si>
  <si>
    <t>MSMLMOXA</t>
  </si>
  <si>
    <t>CLMAMOXB</t>
  </si>
  <si>
    <t>SPRINGFIELD</t>
  </si>
  <si>
    <t>SPFIMOAH</t>
  </si>
  <si>
    <t>SAINT ROBERT</t>
  </si>
  <si>
    <t>STRBMOXA</t>
  </si>
  <si>
    <t>SPFGMOHQ</t>
  </si>
  <si>
    <t>CLMAMOXC</t>
  </si>
  <si>
    <t>HOLLISTER</t>
  </si>
  <si>
    <t>BASNMOXA</t>
  </si>
  <si>
    <t>ROLLA</t>
  </si>
  <si>
    <t>ROLLMOXA</t>
  </si>
  <si>
    <t>BRANSON</t>
  </si>
  <si>
    <t>SPFFMOEI</t>
  </si>
  <si>
    <t>SPFIMOAG</t>
  </si>
  <si>
    <t>OFLNMOXA</t>
  </si>
  <si>
    <t>SPFIMODR</t>
  </si>
  <si>
    <t>WAYNESVILLE</t>
  </si>
  <si>
    <t>WYVLMOXA</t>
  </si>
  <si>
    <t>WENTZVILLE</t>
  </si>
  <si>
    <t>WNVLMOXA</t>
  </si>
  <si>
    <t>FORSYTH</t>
  </si>
  <si>
    <t>FRSYMOXA</t>
  </si>
  <si>
    <t>MO1100081371</t>
  </si>
  <si>
    <t>MO1100081386</t>
  </si>
  <si>
    <t>MO1100081425</t>
  </si>
  <si>
    <t>MO1100081439</t>
  </si>
  <si>
    <t>MO1100081451</t>
  </si>
  <si>
    <t>MO1100081496</t>
  </si>
  <si>
    <t>MO1100081513</t>
  </si>
  <si>
    <t>MO1100081523</t>
  </si>
  <si>
    <t>MO1100081539</t>
  </si>
  <si>
    <t>MO1100081557</t>
  </si>
  <si>
    <t>MO1100081589</t>
  </si>
  <si>
    <t>MO1100081599</t>
  </si>
  <si>
    <t>MO1100081672</t>
  </si>
  <si>
    <t>CHAMBERSBURG</t>
  </si>
  <si>
    <t>CHBGPAXC</t>
  </si>
  <si>
    <t>CARLISLE</t>
  </si>
  <si>
    <t>CRLSPAXC</t>
  </si>
  <si>
    <t>WAYNESBORO</t>
  </si>
  <si>
    <t>WYBOPAXW</t>
  </si>
  <si>
    <t>SHIPPENSBURG</t>
  </si>
  <si>
    <t>SHIPPAXS</t>
  </si>
  <si>
    <t>BUTLER</t>
  </si>
  <si>
    <t>BTLRPAXB</t>
  </si>
  <si>
    <t>PA1100034337</t>
  </si>
  <si>
    <t>PA1100034343</t>
  </si>
  <si>
    <t>PA1100034382</t>
  </si>
  <si>
    <t>PA1100034392</t>
  </si>
  <si>
    <t>MGSPALXA</t>
  </si>
  <si>
    <t>SUMMERDALE</t>
  </si>
  <si>
    <t>SRDLALXA</t>
  </si>
  <si>
    <t>TRUSSVILLE</t>
  </si>
  <si>
    <t>TSVLALXA</t>
  </si>
  <si>
    <t>DOTHAN</t>
  </si>
  <si>
    <t>DTHNALXA</t>
  </si>
  <si>
    <t>AL1100048552</t>
  </si>
  <si>
    <t>AL1100048554</t>
  </si>
  <si>
    <t>AL1100048657</t>
  </si>
  <si>
    <t>AL1100048673</t>
  </si>
  <si>
    <t>AL1100048725</t>
  </si>
  <si>
    <t>HEADLAND</t>
  </si>
  <si>
    <t>HDLDALXA</t>
  </si>
  <si>
    <t>LUDOWICI</t>
  </si>
  <si>
    <t>GA1100003428</t>
  </si>
  <si>
    <t>RICHMOND HILL</t>
  </si>
  <si>
    <t>KLLRGAXA</t>
  </si>
  <si>
    <t>NAPPANEE</t>
  </si>
  <si>
    <t>NPPNINXA</t>
  </si>
  <si>
    <t>DECATUR</t>
  </si>
  <si>
    <t>DCTRINXA</t>
  </si>
  <si>
    <t>EDGERTON</t>
  </si>
  <si>
    <t>EGTNKSXA</t>
  </si>
  <si>
    <t>KS1100009837</t>
  </si>
  <si>
    <t>KS1100009848</t>
  </si>
  <si>
    <t>KS1100009850</t>
  </si>
  <si>
    <t>CHOUDRANT</t>
  </si>
  <si>
    <t>CHORLAXA</t>
  </si>
  <si>
    <t>OZARK</t>
  </si>
  <si>
    <t>OZRKMOXA</t>
  </si>
  <si>
    <t>TAOSMOXA</t>
  </si>
  <si>
    <t>TROY</t>
  </si>
  <si>
    <t>TROYMOXA</t>
  </si>
  <si>
    <t>MO1100081455</t>
  </si>
  <si>
    <t>MO1100081520</t>
  </si>
  <si>
    <t>OLIVE BRANCH</t>
  </si>
  <si>
    <t>OLBRMSXA</t>
  </si>
  <si>
    <t>FRANKLINTON</t>
  </si>
  <si>
    <t>FKTNNCXA</t>
  </si>
  <si>
    <t>SOUTH MILLS</t>
  </si>
  <si>
    <t>STMLNCXA</t>
  </si>
  <si>
    <t>POLLOCKSVILLE</t>
  </si>
  <si>
    <t>PCVLNCXA</t>
  </si>
  <si>
    <t>ROCKY MOUNT</t>
  </si>
  <si>
    <t>RCMTNCXB</t>
  </si>
  <si>
    <t>WEST END</t>
  </si>
  <si>
    <t>PNHRNCXA</t>
  </si>
  <si>
    <t>CLAYTON</t>
  </si>
  <si>
    <t>CYTNNCXA</t>
  </si>
  <si>
    <t>LOUISBURG</t>
  </si>
  <si>
    <t>SPRHNCXA</t>
  </si>
  <si>
    <t>BENSON</t>
  </si>
  <si>
    <t>BNSNNCXA</t>
  </si>
  <si>
    <t>GRANDY</t>
  </si>
  <si>
    <t>CNJCNCXA</t>
  </si>
  <si>
    <t>MOYOCK</t>
  </si>
  <si>
    <t>MOYCNCXA</t>
  </si>
  <si>
    <t>NAGS HEAD</t>
  </si>
  <si>
    <t>SPRING HOPE</t>
  </si>
  <si>
    <t>TROYNCXA</t>
  </si>
  <si>
    <t>RCMTNCXA</t>
  </si>
  <si>
    <t>WENDNCXB</t>
  </si>
  <si>
    <t>VASS</t>
  </si>
  <si>
    <t>VASSNCXA</t>
  </si>
  <si>
    <t>ANGIER</t>
  </si>
  <si>
    <t>ANGRNCXA</t>
  </si>
  <si>
    <t>MEBANE</t>
  </si>
  <si>
    <t>MEBNNCXA</t>
  </si>
  <si>
    <t>ELM CITY</t>
  </si>
  <si>
    <t>DUNN</t>
  </si>
  <si>
    <t>DUNNNCXA</t>
  </si>
  <si>
    <t>GRIFTON</t>
  </si>
  <si>
    <t>GFTNNCXA</t>
  </si>
  <si>
    <t>GRIMESLAND</t>
  </si>
  <si>
    <t>MOUNT GILEAD</t>
  </si>
  <si>
    <t>MTGLNCXA</t>
  </si>
  <si>
    <t>AYDEN</t>
  </si>
  <si>
    <t>AYDNNCXA</t>
  </si>
  <si>
    <t>WILLOW SPRING</t>
  </si>
  <si>
    <t>WINTERVILLE</t>
  </si>
  <si>
    <t>WASHINGTON</t>
  </si>
  <si>
    <t>WASHNCXA</t>
  </si>
  <si>
    <t>ROLESVILLE</t>
  </si>
  <si>
    <t>BATH</t>
  </si>
  <si>
    <t>BATHNCXA</t>
  </si>
  <si>
    <t>WENDELL</t>
  </si>
  <si>
    <t>NC1100171861</t>
  </si>
  <si>
    <t>SHAWBORO</t>
  </si>
  <si>
    <t>SHLHNCXA</t>
  </si>
  <si>
    <t>LSBGNCXA</t>
  </si>
  <si>
    <t>NC1100172293</t>
  </si>
  <si>
    <t>NC1100172355</t>
  </si>
  <si>
    <t>NC1100172374</t>
  </si>
  <si>
    <t>NC1100172412</t>
  </si>
  <si>
    <t>NC1100172433</t>
  </si>
  <si>
    <t>NC1100172474</t>
  </si>
  <si>
    <t>NC1100172594</t>
  </si>
  <si>
    <t>NC1100172664</t>
  </si>
  <si>
    <t>CATAWBA</t>
  </si>
  <si>
    <t>SHFRNCXA</t>
  </si>
  <si>
    <t>NC1100172682</t>
  </si>
  <si>
    <t>NC1100172705</t>
  </si>
  <si>
    <t>NEWPORT</t>
  </si>
  <si>
    <t>SWNSNCXA</t>
  </si>
  <si>
    <t>NC1100172707</t>
  </si>
  <si>
    <t>NC1100172781</t>
  </si>
  <si>
    <t>NC1100172810</t>
  </si>
  <si>
    <t>NC1100172821</t>
  </si>
  <si>
    <t>NC1100172884</t>
  </si>
  <si>
    <t>NC1100172958</t>
  </si>
  <si>
    <t>HERTFORD</t>
  </si>
  <si>
    <t>HRFRNCXA</t>
  </si>
  <si>
    <t>HAMBURG</t>
  </si>
  <si>
    <t>FRBONJXU</t>
  </si>
  <si>
    <t>LORNOHXD</t>
  </si>
  <si>
    <t>VERMILION</t>
  </si>
  <si>
    <t>VRMLOHXA</t>
  </si>
  <si>
    <t>MNFDOHXD</t>
  </si>
  <si>
    <t>HANOVER</t>
  </si>
  <si>
    <t>HNVRPAXH</t>
  </si>
  <si>
    <t>ELIZABETHTOWN</t>
  </si>
  <si>
    <t>EZTWPAXE</t>
  </si>
  <si>
    <t>PA1100034390</t>
  </si>
  <si>
    <t>PA1100034449</t>
  </si>
  <si>
    <t>LRBYSCXA</t>
  </si>
  <si>
    <t>SC1100014631</t>
  </si>
  <si>
    <t>SC1100014679</t>
  </si>
  <si>
    <t>SC1100014737</t>
  </si>
  <si>
    <t>SC1100014744</t>
  </si>
  <si>
    <t>SC1100014765</t>
  </si>
  <si>
    <t>KINGSPORT</t>
  </si>
  <si>
    <t>KGPTTNXA</t>
  </si>
  <si>
    <t>NAVASOTA</t>
  </si>
  <si>
    <t>NVSTTXXA</t>
  </si>
  <si>
    <t>KEMPNER</t>
  </si>
  <si>
    <t>KMPNTXXA</t>
  </si>
  <si>
    <t>RHOME</t>
  </si>
  <si>
    <t>RHMETXXA</t>
  </si>
  <si>
    <t>NOLANVILLE</t>
  </si>
  <si>
    <t>COPPERAS COVE</t>
  </si>
  <si>
    <t>CPCVTXXA</t>
  </si>
  <si>
    <t>DCTRTXXA</t>
  </si>
  <si>
    <t>SAN MARCOS</t>
  </si>
  <si>
    <t>SMRCTXXA</t>
  </si>
  <si>
    <t>FTHDTXXA</t>
  </si>
  <si>
    <t>PYSPTXXA</t>
  </si>
  <si>
    <t>PONDER</t>
  </si>
  <si>
    <t>TX1100046471</t>
  </si>
  <si>
    <t>TX1100046537</t>
  </si>
  <si>
    <t>TX1100046579</t>
  </si>
  <si>
    <t>CROZET</t>
  </si>
  <si>
    <t>CRZTVAXA</t>
  </si>
  <si>
    <t>Data provided by Hary Toledo</t>
  </si>
  <si>
    <t>Sample data provided 2.19.26</t>
  </si>
  <si>
    <t>Automated email send : last day of the month at 11:50pm (+/- 10 mins). This will be the final data set for the month.</t>
  </si>
  <si>
    <t>Penetration report  and Units sold report to be provided monthly</t>
  </si>
  <si>
    <t>Dir TSI</t>
  </si>
  <si>
    <t>email address</t>
  </si>
  <si>
    <t>salesforce ID</t>
  </si>
  <si>
    <t>payroll ID</t>
  </si>
  <si>
    <t>5 Contract Bonus (Exclusive or Bulk)</t>
  </si>
  <si>
    <t>EMA+Bulk</t>
  </si>
  <si>
    <t>Bonus</t>
  </si>
  <si>
    <t>Contract Bonus</t>
  </si>
  <si>
    <t>Total Commission</t>
  </si>
  <si>
    <t>5 Contracts that are Exclusive or Bulk with a min of 50 Contracted Units per contract</t>
  </si>
  <si>
    <t>% MoM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</si>
</sst>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;\-0.0%;0.0%"/>
    <numFmt numFmtId="166" formatCode="[$-409]mmm\-yy;@"/>
    <numFmt numFmtId="167" formatCode="_(&quot;$&quot;* #,##0_);_(&quot;$&quot;* \(#,##0\);_(&quot;$&quot;* &quot;-&quot;??_);_(@_)"/>
  </numFmts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</font>
    <font>
      <b/>
      <sz val="11"/>
      <name val="Aptos Narrow"/>
    </font>
    <font>
      <sz val="11"/>
      <color theme="0" tint="-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19" applyNumberFormat="0" applyAlignment="0" applyProtection="0"/>
    <xf numFmtId="0" fontId="14" fillId="7" borderId="20" applyNumberFormat="0" applyAlignment="0" applyProtection="0"/>
    <xf numFmtId="0" fontId="15" fillId="7" borderId="19" applyNumberFormat="0" applyAlignment="0" applyProtection="0"/>
    <xf numFmtId="0" fontId="16" fillId="0" borderId="21" applyNumberFormat="0" applyFill="0" applyAlignment="0" applyProtection="0"/>
    <xf numFmtId="0" fontId="17" fillId="8" borderId="22" applyNumberFormat="0" applyAlignment="0" applyProtection="0"/>
    <xf numFmtId="0" fontId="18" fillId="0" borderId="0" applyNumberFormat="0" applyFill="0" applyBorder="0" applyAlignment="0" applyProtection="0"/>
    <xf numFmtId="0" fontId="2" fillId="9" borderId="23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24" applyNumberFormat="0" applyFill="0" applyAlignment="0" applyProtection="0"/>
    <xf numFmtId="0" fontId="2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1" fillId="0" borderId="0"/>
  </cellStyleXfs>
  <cellXfs count="149">
    <xf numFmtId="0" fontId="0" fillId="0" borderId="0" xfId="0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6" fontId="0" fillId="2" borderId="0" xfId="0" applyNumberFormat="1" applyFill="1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0" fillId="0" borderId="2" xfId="0" applyBorder="1"/>
    <xf numFmtId="164" fontId="0" fillId="0" borderId="2" xfId="1" applyNumberFormat="1" applyFont="1" applyBorder="1"/>
    <xf numFmtId="164" fontId="0" fillId="0" borderId="0" xfId="1" applyNumberFormat="1" applyFont="1" applyBorder="1"/>
    <xf numFmtId="0" fontId="0" fillId="0" borderId="1" xfId="0" applyBorder="1"/>
    <xf numFmtId="164" fontId="0" fillId="0" borderId="1" xfId="1" applyNumberFormat="1" applyFont="1" applyBorder="1"/>
    <xf numFmtId="0" fontId="1" fillId="0" borderId="0" xfId="0" applyFont="1"/>
    <xf numFmtId="44" fontId="0" fillId="0" borderId="0" xfId="0" applyNumberFormat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5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0" fillId="0" borderId="5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Continuous"/>
    </xf>
    <xf numFmtId="164" fontId="0" fillId="0" borderId="0" xfId="1" applyNumberFormat="1" applyFont="1" applyFill="1" applyBorder="1"/>
    <xf numFmtId="0" fontId="1" fillId="0" borderId="1" xfId="0" applyFont="1" applyBorder="1" applyAlignment="1">
      <alignment horizontal="left"/>
    </xf>
    <xf numFmtId="0" fontId="1" fillId="0" borderId="7" xfId="0" applyFont="1" applyBorder="1"/>
    <xf numFmtId="0" fontId="4" fillId="0" borderId="1" xfId="0" applyFont="1" applyBorder="1" applyAlignment="1">
      <alignment horizontal="centerContinuous"/>
    </xf>
    <xf numFmtId="0" fontId="5" fillId="0" borderId="0" xfId="0" applyFont="1"/>
    <xf numFmtId="0" fontId="5" fillId="0" borderId="0" xfId="0" applyFont="1" applyAlignment="1">
      <alignment horizontal="right" wrapText="1"/>
    </xf>
    <xf numFmtId="17" fontId="5" fillId="0" borderId="0" xfId="0" applyNumberFormat="1" applyFont="1"/>
    <xf numFmtId="164" fontId="5" fillId="0" borderId="0" xfId="1" applyNumberFormat="1" applyFont="1"/>
    <xf numFmtId="0" fontId="5" fillId="0" borderId="8" xfId="0" applyFont="1" applyBorder="1" applyAlignment="1">
      <alignment horizontal="right"/>
    </xf>
    <xf numFmtId="0" fontId="5" fillId="0" borderId="8" xfId="0" applyFont="1" applyBorder="1"/>
    <xf numFmtId="164" fontId="5" fillId="0" borderId="8" xfId="1" applyNumberFormat="1" applyFont="1" applyBorder="1"/>
    <xf numFmtId="164" fontId="0" fillId="0" borderId="0" xfId="0" applyNumberFormat="1"/>
    <xf numFmtId="44" fontId="0" fillId="0" borderId="0" xfId="2" applyFont="1"/>
    <xf numFmtId="9" fontId="0" fillId="0" borderId="0" xfId="3" applyFont="1" applyBorder="1"/>
    <xf numFmtId="9" fontId="0" fillId="0" borderId="1" xfId="3" applyFont="1" applyBorder="1"/>
    <xf numFmtId="44" fontId="0" fillId="0" borderId="4" xfId="0" applyNumberFormat="1" applyBorder="1"/>
    <xf numFmtId="44" fontId="0" fillId="0" borderId="5" xfId="0" applyNumberFormat="1" applyBorder="1"/>
    <xf numFmtId="44" fontId="0" fillId="0" borderId="3" xfId="0" applyNumberFormat="1" applyBorder="1"/>
    <xf numFmtId="44" fontId="0" fillId="0" borderId="4" xfId="2" applyFont="1" applyBorder="1"/>
    <xf numFmtId="44" fontId="0" fillId="0" borderId="5" xfId="2" applyFont="1" applyBorder="1"/>
    <xf numFmtId="0" fontId="0" fillId="0" borderId="6" xfId="0" applyBorder="1"/>
    <xf numFmtId="0" fontId="1" fillId="0" borderId="3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44" fontId="1" fillId="0" borderId="1" xfId="2" applyFont="1" applyBorder="1" applyAlignment="1">
      <alignment horizontal="right"/>
    </xf>
    <xf numFmtId="0" fontId="0" fillId="0" borderId="9" xfId="0" applyBorder="1"/>
    <xf numFmtId="164" fontId="0" fillId="0" borderId="10" xfId="1" applyNumberFormat="1" applyFon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1" xfId="0" applyNumberFormat="1" applyBorder="1"/>
    <xf numFmtId="164" fontId="0" fillId="0" borderId="3" xfId="1" applyNumberFormat="1" applyFont="1" applyFill="1" applyBorder="1"/>
    <xf numFmtId="0" fontId="0" fillId="0" borderId="12" xfId="0" applyBorder="1"/>
    <xf numFmtId="164" fontId="0" fillId="0" borderId="12" xfId="0" applyNumberFormat="1" applyBorder="1"/>
    <xf numFmtId="164" fontId="0" fillId="0" borderId="13" xfId="1" applyNumberFormat="1" applyFont="1" applyFill="1" applyBorder="1"/>
    <xf numFmtId="164" fontId="0" fillId="0" borderId="0" xfId="1" applyNumberFormat="1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164" fontId="0" fillId="0" borderId="4" xfId="0" applyNumberFormat="1" applyBorder="1"/>
    <xf numFmtId="0" fontId="0" fillId="0" borderId="4" xfId="0" applyBorder="1"/>
    <xf numFmtId="0" fontId="0" fillId="0" borderId="3" xfId="0" applyBorder="1"/>
    <xf numFmtId="0" fontId="0" fillId="0" borderId="15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Alignment="1">
      <alignment wrapText="1"/>
    </xf>
    <xf numFmtId="0" fontId="21" fillId="0" borderId="0" xfId="45" applyAlignment="1">
      <alignment vertical="top"/>
    </xf>
    <xf numFmtId="17" fontId="21" fillId="0" borderId="0" xfId="45" applyNumberFormat="1" applyAlignment="1">
      <alignment vertical="top"/>
    </xf>
    <xf numFmtId="0" fontId="21" fillId="0" borderId="0" xfId="45"/>
    <xf numFmtId="0" fontId="21" fillId="0" borderId="1" xfId="45" applyBorder="1"/>
    <xf numFmtId="0" fontId="21" fillId="0" borderId="5" xfId="45" applyBorder="1"/>
    <xf numFmtId="165" fontId="21" fillId="0" borderId="0" xfId="45" applyNumberFormat="1"/>
    <xf numFmtId="0" fontId="22" fillId="0" borderId="5" xfId="45" applyFont="1" applyBorder="1"/>
    <xf numFmtId="165" fontId="22" fillId="0" borderId="0" xfId="45" applyNumberFormat="1" applyFont="1"/>
    <xf numFmtId="166" fontId="21" fillId="0" borderId="0" xfId="45" applyNumberFormat="1"/>
    <xf numFmtId="43" fontId="0" fillId="0" borderId="0" xfId="1" applyFont="1"/>
    <xf numFmtId="0" fontId="0" fillId="0" borderId="8" xfId="0" applyBorder="1"/>
    <xf numFmtId="164" fontId="0" fillId="0" borderId="8" xfId="1" applyNumberFormat="1" applyFont="1" applyBorder="1"/>
    <xf numFmtId="43" fontId="0" fillId="0" borderId="8" xfId="1" applyFont="1" applyBorder="1"/>
    <xf numFmtId="44" fontId="0" fillId="0" borderId="8" xfId="2" applyFont="1" applyBorder="1"/>
    <xf numFmtId="9" fontId="0" fillId="0" borderId="0" xfId="3" applyFont="1"/>
    <xf numFmtId="9" fontId="0" fillId="0" borderId="8" xfId="3" applyFont="1" applyBorder="1"/>
    <xf numFmtId="44" fontId="0" fillId="0" borderId="0" xfId="2" applyFont="1" applyBorder="1"/>
    <xf numFmtId="164" fontId="0" fillId="0" borderId="9" xfId="1" applyNumberFormat="1" applyFont="1" applyBorder="1"/>
    <xf numFmtId="44" fontId="0" fillId="0" borderId="9" xfId="2" applyFont="1" applyBorder="1"/>
    <xf numFmtId="9" fontId="0" fillId="0" borderId="9" xfId="3" applyFont="1" applyBorder="1"/>
    <xf numFmtId="44" fontId="0" fillId="0" borderId="9" xfId="0" applyNumberFormat="1" applyBorder="1"/>
    <xf numFmtId="0" fontId="23" fillId="0" borderId="0" xfId="0" applyFont="1"/>
    <xf numFmtId="0" fontId="0" fillId="0" borderId="0" xfId="0" pivotButton="1"/>
    <xf numFmtId="164" fontId="0" fillId="0" borderId="8" xfId="0" applyNumberFormat="1" applyBorder="1"/>
    <xf numFmtId="44" fontId="0" fillId="0" borderId="1" xfId="0" applyNumberFormat="1" applyBorder="1"/>
    <xf numFmtId="0" fontId="1" fillId="0" borderId="0" xfId="0" applyFont="1" applyAlignment="1">
      <alignment horizontal="left" vertical="center"/>
    </xf>
    <xf numFmtId="49" fontId="0" fillId="0" borderId="0" xfId="0" applyNumberFormat="1"/>
    <xf numFmtId="14" fontId="0" fillId="0" borderId="0" xfId="0" applyNumberFormat="1" applyAlignment="1">
      <alignment horizontal="right"/>
    </xf>
    <xf numFmtId="164" fontId="0" fillId="0" borderId="0" xfId="1" applyNumberFormat="1" applyFont="1" applyAlignment="1">
      <alignment horizontal="right"/>
    </xf>
    <xf numFmtId="0" fontId="1" fillId="0" borderId="4" xfId="0" applyFont="1" applyBorder="1" applyAlignment="1">
      <alignment horizontal="left" vertical="center"/>
    </xf>
    <xf numFmtId="164" fontId="0" fillId="0" borderId="2" xfId="0" applyNumberFormat="1" applyBorder="1"/>
    <xf numFmtId="49" fontId="0" fillId="0" borderId="0" xfId="0" applyNumberFormat="1" applyAlignment="1">
      <alignment wrapText="1"/>
    </xf>
    <xf numFmtId="0" fontId="24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9" fontId="0" fillId="0" borderId="4" xfId="3" applyFont="1" applyBorder="1"/>
    <xf numFmtId="9" fontId="0" fillId="0" borderId="5" xfId="3" applyFont="1" applyBorder="1"/>
    <xf numFmtId="9" fontId="0" fillId="0" borderId="25" xfId="3" applyFont="1" applyBorder="1"/>
    <xf numFmtId="9" fontId="0" fillId="0" borderId="27" xfId="3" applyFont="1" applyBorder="1"/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9" fontId="0" fillId="0" borderId="11" xfId="3" applyFont="1" applyBorder="1"/>
    <xf numFmtId="44" fontId="0" fillId="0" borderId="11" xfId="0" applyNumberFormat="1" applyBorder="1"/>
    <xf numFmtId="44" fontId="0" fillId="0" borderId="8" xfId="0" applyNumberFormat="1" applyBorder="1"/>
    <xf numFmtId="0" fontId="1" fillId="0" borderId="0" xfId="0" applyFont="1" applyAlignment="1">
      <alignment horizontal="center"/>
    </xf>
    <xf numFmtId="0" fontId="0" fillId="0" borderId="28" xfId="0" applyBorder="1"/>
    <xf numFmtId="0" fontId="0" fillId="0" borderId="5" xfId="0" applyBorder="1"/>
    <xf numFmtId="0" fontId="0" fillId="0" borderId="9" xfId="0" applyBorder="1" applyAlignment="1">
      <alignment horizontal="left"/>
    </xf>
    <xf numFmtId="10" fontId="0" fillId="0" borderId="0" xfId="3" applyNumberFormat="1" applyFont="1"/>
    <xf numFmtId="10" fontId="0" fillId="0" borderId="0" xfId="0" applyNumberFormat="1"/>
    <xf numFmtId="10" fontId="0" fillId="0" borderId="9" xfId="3" applyNumberFormat="1" applyFont="1" applyBorder="1"/>
    <xf numFmtId="44" fontId="0" fillId="0" borderId="29" xfId="2" applyFont="1" applyBorder="1"/>
    <xf numFmtId="44" fontId="0" fillId="0" borderId="26" xfId="2" applyFont="1" applyBorder="1"/>
    <xf numFmtId="44" fontId="0" fillId="0" borderId="30" xfId="2" applyFont="1" applyBorder="1"/>
    <xf numFmtId="0" fontId="0" fillId="0" borderId="11" xfId="0" applyBorder="1"/>
    <xf numFmtId="44" fontId="0" fillId="0" borderId="14" xfId="0" applyNumberFormat="1" applyBorder="1"/>
    <xf numFmtId="10" fontId="0" fillId="0" borderId="9" xfId="0" applyNumberFormat="1" applyBorder="1"/>
    <xf numFmtId="164" fontId="0" fillId="0" borderId="3" xfId="0" applyNumberFormat="1" applyBorder="1"/>
    <xf numFmtId="44" fontId="0" fillId="0" borderId="25" xfId="0" applyNumberFormat="1" applyBorder="1"/>
    <xf numFmtId="0" fontId="1" fillId="34" borderId="0" xfId="0" applyFont="1" applyFill="1"/>
    <xf numFmtId="17" fontId="1" fillId="0" borderId="0" xfId="0" applyNumberFormat="1" applyFont="1"/>
    <xf numFmtId="0" fontId="25" fillId="0" borderId="0" xfId="0" applyFont="1" applyAlignment="1">
      <alignment vertical="center" wrapText="1"/>
    </xf>
    <xf numFmtId="44" fontId="26" fillId="0" borderId="0" xfId="2" applyFont="1" applyAlignment="1">
      <alignment vertical="center"/>
    </xf>
    <xf numFmtId="0" fontId="26" fillId="0" borderId="0" xfId="0" applyFont="1" applyAlignment="1">
      <alignment vertical="center"/>
    </xf>
    <xf numFmtId="44" fontId="0" fillId="0" borderId="0" xfId="2" applyFont="1" applyFill="1"/>
    <xf numFmtId="44" fontId="0" fillId="35" borderId="0" xfId="2" applyFont="1" applyFill="1"/>
    <xf numFmtId="0" fontId="0" fillId="35" borderId="0" xfId="0" applyFill="1"/>
    <xf numFmtId="14" fontId="0" fillId="0" borderId="0" xfId="0" applyNumberFormat="1"/>
    <xf numFmtId="167" fontId="0" fillId="0" borderId="1" xfId="2" applyNumberFormat="1" applyFont="1" applyBorder="1"/>
    <xf numFmtId="164" fontId="0" fillId="0" borderId="4" xfId="3" applyNumberFormat="1" applyFont="1" applyBorder="1"/>
    <xf numFmtId="164" fontId="0" fillId="0" borderId="25" xfId="1" applyNumberFormat="1" applyFont="1" applyBorder="1"/>
    <xf numFmtId="0" fontId="0" fillId="0" borderId="0" xfId="0" applyBorder="1"/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7E1FF347-03E2-4E92-8FB0-A1526405E258}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16</xdr:row>
      <xdr:rowOff>26987</xdr:rowOff>
    </xdr:from>
    <xdr:to>
      <xdr:col>12</xdr:col>
      <xdr:colOff>690562</xdr:colOff>
      <xdr:row>19</xdr:row>
      <xdr:rowOff>146049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CA66C6-F9F4-63A9-A331-CF4DFE742082}"/>
            </a:ext>
          </a:extLst>
        </xdr:cNvPr>
        <xdr:cNvSpPr txBox="1"/>
      </xdr:nvSpPr>
      <xdr:spPr>
        <a:xfrm>
          <a:off x="8239125" y="2884487"/>
          <a:ext cx="4762500" cy="65484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Target and Rate Setting</a:t>
          </a:r>
          <a:r>
            <a:rPr lang="en-US" sz="1100" baseline="0"/>
            <a:t> Notes:</a:t>
          </a:r>
          <a:br>
            <a:rPr lang="en-US" sz="1100" baseline="0"/>
          </a:br>
          <a:r>
            <a:rPr lang="en-US" sz="1100" baseline="0"/>
            <a:t>- Target set at 90% for AEs but this target is not a component of the plan</a:t>
          </a:r>
        </a:p>
        <a:p>
          <a:r>
            <a:rPr lang="en-US" sz="1100" baseline="0"/>
            <a:t>- Base Rate set by dividing TSI by Target (if Target changes, so does the base rate)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454025</xdr:colOff>
      <xdr:row>30</xdr:row>
      <xdr:rowOff>95250</xdr:rowOff>
    </xdr:from>
    <xdr:to>
      <xdr:col>27</xdr:col>
      <xdr:colOff>415927</xdr:colOff>
      <xdr:row>49</xdr:row>
      <xdr:rowOff>93662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A5A567-7748-4BE6-8827-10C256EF3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17025" y="5905500"/>
          <a:ext cx="11972927" cy="34464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1116013</xdr:colOff>
      <xdr:row>11</xdr:row>
      <xdr:rowOff>122237</xdr:rowOff>
    </xdr:from>
    <xdr:to>
      <xdr:col>16</xdr:col>
      <xdr:colOff>788987</xdr:colOff>
      <xdr:row>25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92E657-604E-91C1-0D33-61595D25D68D}"/>
            </a:ext>
          </a:extLst>
        </xdr:cNvPr>
        <xdr:cNvSpPr txBox="1"/>
      </xdr:nvSpPr>
      <xdr:spPr>
        <a:xfrm>
          <a:off x="11268076" y="1947862"/>
          <a:ext cx="6538911" cy="24336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Hi Nicole, 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Our TSR sales goals will be quarterly as follows: 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Q1 - 300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Q2 - 390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Q3 - 495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Q5 - 325</a:t>
          </a:r>
        </a:p>
        <a:p>
          <a:pPr fontAlgn="base"/>
          <a:b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TBA Single Family Home seller will be: 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Q1 - 300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Q2 - 350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Q3 - 400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Q4 - 300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dfern, Nicole (External)" refreshedDate="46071.441293865741" createdVersion="8" refreshedVersion="8" minRefreshableVersion="3" recordCount="724" xr:uid="{9FE4FA99-A625-4C3C-87B1-A3415C504552}">
  <cacheSource type="worksheet">
    <worksheetSource ref="A1:E725" sheet="TSR Sales Feb Model"/>
  </cacheSource>
  <cacheFields count="5">
    <cacheField name="[TSR]" numFmtId="0">
      <sharedItems count="4">
        <s v="6d5fe13cc3956210c73cdda77d0131a5"/>
        <s v="Joseph Buckles"/>
        <s v="Karsten Freeman"/>
        <s v="Norman Mundy"/>
      </sharedItems>
    </cacheField>
    <cacheField name="[ORDER #]" numFmtId="0">
      <sharedItems/>
    </cacheField>
    <cacheField name="[SRVC_TYP]" numFmtId="0">
      <sharedItems/>
    </cacheField>
    <cacheField name="[STATE]" numFmtId="0">
      <sharedItems/>
    </cacheField>
    <cacheField name="[ORDER DATE]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">
  <r>
    <x v="0"/>
    <s v="AL1100047194"/>
    <s v="fQF Internet"/>
    <s v="AL"/>
    <s v="2026-02-02T00:00:00"/>
  </r>
  <r>
    <x v="0"/>
    <s v="AL1100047243"/>
    <s v="Fiber Internet"/>
    <s v="AL"/>
    <s v="2026-02-02T00:00:00"/>
  </r>
  <r>
    <x v="0"/>
    <s v="AL1100047252"/>
    <s v="Fiber Internet"/>
    <s v="AL"/>
    <s v="2026-02-02T00:00:00"/>
  </r>
  <r>
    <x v="0"/>
    <s v="AL1100047265"/>
    <s v="Fiber Internet"/>
    <s v="AL"/>
    <s v="2026-02-02T00:00:00"/>
  </r>
  <r>
    <x v="0"/>
    <s v="AL1100047309"/>
    <s v="Fiber Internet"/>
    <s v="AL"/>
    <s v="2026-02-03T00:00:00"/>
  </r>
  <r>
    <x v="0"/>
    <s v="AL1100047312"/>
    <s v="Fiber Internet"/>
    <s v="AL"/>
    <s v="2026-02-03T00:00:00"/>
  </r>
  <r>
    <x v="0"/>
    <s v="AL1100047333"/>
    <s v="Fiber Internet"/>
    <s v="AL"/>
    <s v="2026-02-03T00:00:00"/>
  </r>
  <r>
    <x v="0"/>
    <s v="AL1100047397"/>
    <s v="Fiber Internet"/>
    <s v="AL"/>
    <s v="2026-02-04T00:00:00"/>
  </r>
  <r>
    <x v="0"/>
    <s v="AL1100047421"/>
    <s v="Fiber Internet"/>
    <s v="AL"/>
    <s v="2026-02-04T00:00:00"/>
  </r>
  <r>
    <x v="0"/>
    <s v="AL1100047460"/>
    <s v="Fiber Internet"/>
    <s v="AL"/>
    <s v="2026-02-05T00:00:00"/>
  </r>
  <r>
    <x v="0"/>
    <s v="AL1100047473"/>
    <s v="Fiber Internet"/>
    <s v="AL"/>
    <s v="2026-02-05T00:00:00"/>
  </r>
  <r>
    <x v="0"/>
    <s v="AL1100047503"/>
    <s v="Fiber Internet"/>
    <s v="AL"/>
    <s v="2026-02-05T00:00:00"/>
  </r>
  <r>
    <x v="0"/>
    <s v="AL1100047512"/>
    <s v="Fiber Internet"/>
    <s v="AL"/>
    <s v="2026-02-05T00:00:00"/>
  </r>
  <r>
    <x v="0"/>
    <s v="AL1100047524"/>
    <s v="Fiber Internet"/>
    <s v="AL"/>
    <s v="2026-02-05T00:00:00"/>
  </r>
  <r>
    <x v="0"/>
    <s v="AL1100047585"/>
    <s v="Fiber Internet"/>
    <s v="AL"/>
    <s v="2026-02-06T00:00:00"/>
  </r>
  <r>
    <x v="0"/>
    <s v="AL1100047623"/>
    <s v="Fiber Internet"/>
    <s v="AL"/>
    <s v="2026-02-06T00:00:00"/>
  </r>
  <r>
    <x v="0"/>
    <s v="AL1100047654"/>
    <s v="Fiber Internet"/>
    <s v="AL"/>
    <s v="2026-02-07T00:00:00"/>
  </r>
  <r>
    <x v="0"/>
    <s v="AL1100047797"/>
    <s v="Fiber Internet"/>
    <s v="AL"/>
    <s v="2026-02-09T00:00:00"/>
  </r>
  <r>
    <x v="0"/>
    <s v="AL1100047831"/>
    <s v="Fiber Internet"/>
    <s v="AL"/>
    <s v="2026-02-09T00:00:00"/>
  </r>
  <r>
    <x v="0"/>
    <s v="AL1100047851"/>
    <s v="Fiber Internet"/>
    <s v="AL"/>
    <s v="2026-02-10T00:00:00"/>
  </r>
  <r>
    <x v="0"/>
    <s v="AL1100047879"/>
    <s v="Fiber Internet"/>
    <s v="AL"/>
    <s v="2026-02-10T00:00:00"/>
  </r>
  <r>
    <x v="0"/>
    <s v="AL1100047957"/>
    <s v="Fiber Internet"/>
    <s v="AL"/>
    <s v="2026-02-11T00:00:00"/>
  </r>
  <r>
    <x v="0"/>
    <s v="AL1100047967"/>
    <s v="Fiber Internet"/>
    <s v="AL"/>
    <s v="2026-02-11T00:00:00"/>
  </r>
  <r>
    <x v="0"/>
    <s v="AL1100047993"/>
    <s v="Fiber Internet"/>
    <s v="AL"/>
    <s v="2026-02-11T00:00:00"/>
  </r>
  <r>
    <x v="0"/>
    <s v="AL1100048001"/>
    <s v="Fiber Internet"/>
    <s v="AL"/>
    <s v="2026-02-11T00:00:00"/>
  </r>
  <r>
    <x v="0"/>
    <s v="AL1100048064"/>
    <s v="Fiber Internet"/>
    <s v="AL"/>
    <s v="2026-02-12T00:00:00"/>
  </r>
  <r>
    <x v="0"/>
    <s v="AL1100048084"/>
    <s v="Fiber Internet"/>
    <s v="AL"/>
    <s v="2026-02-12T00:00:00"/>
  </r>
  <r>
    <x v="0"/>
    <s v="AL1100048090"/>
    <s v="Fiber Internet"/>
    <s v="AL"/>
    <s v="2026-02-12T00:00:00"/>
  </r>
  <r>
    <x v="0"/>
    <s v="AL1100048148"/>
    <s v="Fiber Internet"/>
    <s v="AL"/>
    <s v="2026-02-12T00:00:00"/>
  </r>
  <r>
    <x v="0"/>
    <s v="AL1100048221"/>
    <s v="Fiber Internet"/>
    <s v="AL"/>
    <s v="2026-02-13T00:00:00"/>
  </r>
  <r>
    <x v="0"/>
    <s v="AL1100048225"/>
    <s v="fQF Internet"/>
    <s v="AL"/>
    <s v="2026-02-13T00:00:00"/>
  </r>
  <r>
    <x v="0"/>
    <s v="AL1100048241"/>
    <s v="Fiber Internet"/>
    <s v="AL"/>
    <s v="2026-02-13T00:00:00"/>
  </r>
  <r>
    <x v="0"/>
    <s v="AL1100048251"/>
    <s v="fQF Internet"/>
    <s v="AL"/>
    <s v="2026-02-13T00:00:00"/>
  </r>
  <r>
    <x v="0"/>
    <s v="AL1100048258"/>
    <s v="Fiber Internet"/>
    <s v="AL"/>
    <s v="2026-02-13T00:00:00"/>
  </r>
  <r>
    <x v="0"/>
    <s v="AL1100048296"/>
    <s v="Fiber Internet"/>
    <s v="AL"/>
    <s v="2026-02-14T00:00:00"/>
  </r>
  <r>
    <x v="0"/>
    <s v="AL1100048399"/>
    <s v="Fiber Internet"/>
    <s v="AL"/>
    <s v="2026-02-16T00:00:00"/>
  </r>
  <r>
    <x v="0"/>
    <s v="AL1100048419"/>
    <s v="Fiber Internet"/>
    <s v="AL"/>
    <s v="2026-02-16T00:00:00"/>
  </r>
  <r>
    <x v="0"/>
    <s v="AL1100048450"/>
    <s v="Fiber Internet"/>
    <s v="AL"/>
    <s v="2026-02-16T00:00:00"/>
  </r>
  <r>
    <x v="0"/>
    <s v="AL1100048476"/>
    <s v="Fiber Internet"/>
    <s v="AL"/>
    <s v="2026-02-16T00:00:00"/>
  </r>
  <r>
    <x v="0"/>
    <s v="AL1100048502"/>
    <s v="Fiber Internet"/>
    <s v="AL"/>
    <s v="2026-02-17T00:00:00"/>
  </r>
  <r>
    <x v="0"/>
    <s v="AR1100035136"/>
    <s v="Fiber Internet"/>
    <s v="AR"/>
    <s v="2026-02-03T00:00:00"/>
  </r>
  <r>
    <x v="0"/>
    <s v="AR1100035191"/>
    <s v="Fiber Internet"/>
    <s v="AR"/>
    <s v="2026-02-04T00:00:00"/>
  </r>
  <r>
    <x v="0"/>
    <s v="AR1100035358"/>
    <s v="Fiber Internet"/>
    <s v="AR"/>
    <s v="2026-02-06T00:00:00"/>
  </r>
  <r>
    <x v="0"/>
    <s v="AR1100035376"/>
    <s v="Fiber Internet"/>
    <s v="AR"/>
    <s v="2026-02-06T00:00:00"/>
  </r>
  <r>
    <x v="0"/>
    <s v="AR1100035387"/>
    <s v="Fiber Internet"/>
    <s v="AR"/>
    <s v="2026-02-06T00:00:00"/>
  </r>
  <r>
    <x v="0"/>
    <s v="AR1100035737"/>
    <s v="Fiber Internet"/>
    <s v="AR"/>
    <s v="2026-02-12T00:00:00"/>
  </r>
  <r>
    <x v="0"/>
    <s v="AR1100035738"/>
    <s v="Fiber Internet"/>
    <s v="AR"/>
    <s v="2026-02-12T00:00:00"/>
  </r>
  <r>
    <x v="0"/>
    <s v="AR1100035743"/>
    <s v="Fiber Internet"/>
    <s v="AR"/>
    <s v="2026-02-12T00:00:00"/>
  </r>
  <r>
    <x v="0"/>
    <s v="AR1100035883"/>
    <s v="Instant Internet"/>
    <s v="AR"/>
    <s v="2026-02-14T00:00:00"/>
  </r>
  <r>
    <x v="0"/>
    <s v="NJ1100008114"/>
    <s v="Fiber Internet"/>
    <s v="NJ"/>
    <s v="2026-02-10T00:00:00"/>
  </r>
  <r>
    <x v="0"/>
    <s v="NJ1100008135"/>
    <s v="fQF Internet"/>
    <s v="NJ"/>
    <s v="2026-02-12T00:00:00"/>
  </r>
  <r>
    <x v="0"/>
    <s v="TX1100043765"/>
    <s v="Instant Internet+Value Added Services"/>
    <s v="TX"/>
    <s v="2026-02-01T00:00:00"/>
  </r>
  <r>
    <x v="0"/>
    <s v="TX1100043773"/>
    <s v="Fiber Internet"/>
    <s v="TX"/>
    <s v="2026-02-01T00:00:00"/>
  </r>
  <r>
    <x v="0"/>
    <s v="TX1100043783"/>
    <s v="Fiber Internet+Value Added Services"/>
    <s v="TX"/>
    <s v="2026-02-01T00:00:00"/>
  </r>
  <r>
    <x v="0"/>
    <s v="TX1100043810"/>
    <s v="Fiber Internet"/>
    <s v="TX"/>
    <s v="2026-02-01T00:00:00"/>
  </r>
  <r>
    <x v="0"/>
    <s v="TX1100043819"/>
    <s v="Fiber Internet"/>
    <s v="TX"/>
    <s v="2026-02-01T00:00:00"/>
  </r>
  <r>
    <x v="0"/>
    <s v="TX1100043852"/>
    <s v="fQF Internet"/>
    <s v="TX"/>
    <s v="2026-02-02T00:00:00"/>
  </r>
  <r>
    <x v="0"/>
    <s v="TX1100043860"/>
    <s v="fQF Internet"/>
    <s v="TX"/>
    <s v="2026-02-02T00:00:00"/>
  </r>
  <r>
    <x v="0"/>
    <s v="TX1100043869"/>
    <s v="Fiber Internet"/>
    <s v="TX"/>
    <s v="2026-02-02T00:00:00"/>
  </r>
  <r>
    <x v="0"/>
    <s v="TX1100043870"/>
    <s v="Instant Internet"/>
    <s v="TX"/>
    <s v="2026-02-02T00:00:00"/>
  </r>
  <r>
    <x v="0"/>
    <s v="TX1100043902"/>
    <s v="Instant Internet"/>
    <s v="TX"/>
    <s v="2026-02-02T00:00:00"/>
  </r>
  <r>
    <x v="0"/>
    <s v="TX1100043906"/>
    <s v="Fiber Internet"/>
    <s v="TX"/>
    <s v="2026-02-02T00:00:00"/>
  </r>
  <r>
    <x v="0"/>
    <s v="TX1100043935"/>
    <s v="Fiber Internet"/>
    <s v="TX"/>
    <s v="2026-02-02T00:00:00"/>
  </r>
  <r>
    <x v="0"/>
    <s v="TX1100043951"/>
    <s v="fQF Internet"/>
    <s v="TX"/>
    <s v="2026-02-03T00:00:00"/>
  </r>
  <r>
    <x v="0"/>
    <s v="TX1100043958"/>
    <s v="Instant Internet"/>
    <s v="TX"/>
    <s v="2026-02-03T00:00:00"/>
  </r>
  <r>
    <x v="0"/>
    <s v="TX1100043961"/>
    <s v="Fiber Internet"/>
    <s v="TX"/>
    <s v="2026-02-03T00:00:00"/>
  </r>
  <r>
    <x v="0"/>
    <s v="TX1100043976"/>
    <s v="Instant Internet"/>
    <s v="TX"/>
    <s v="2026-02-03T00:00:00"/>
  </r>
  <r>
    <x v="0"/>
    <s v="TX1100044085"/>
    <s v="Instant Internet"/>
    <s v="TX"/>
    <s v="2026-02-03T00:00:00"/>
  </r>
  <r>
    <x v="0"/>
    <s v="TX1100044138"/>
    <s v="fQF Internet+Value Added Services"/>
    <s v="TX"/>
    <s v="2026-02-04T00:00:00"/>
  </r>
  <r>
    <x v="0"/>
    <s v="TX1100044147"/>
    <s v="Fiber Internet"/>
    <s v="TX"/>
    <s v="2026-02-04T00:00:00"/>
  </r>
  <r>
    <x v="0"/>
    <s v="TX1100044152"/>
    <s v="Fiber Internet"/>
    <s v="TX"/>
    <s v="2026-02-04T00:00:00"/>
  </r>
  <r>
    <x v="0"/>
    <s v="TX1100044161"/>
    <s v="Fiber Internet"/>
    <s v="TX"/>
    <s v="2026-02-04T00:00:00"/>
  </r>
  <r>
    <x v="0"/>
    <s v="TX1100044166"/>
    <s v="fQF Internet"/>
    <s v="TX"/>
    <s v="2026-02-04T00:00:00"/>
  </r>
  <r>
    <x v="0"/>
    <s v="TX1100044170"/>
    <s v="BrightSpeed Internet"/>
    <s v="TX"/>
    <s v="2026-02-04T00:00:00"/>
  </r>
  <r>
    <x v="0"/>
    <s v="TX1100044199"/>
    <s v="Instant Internet"/>
    <s v="TX"/>
    <s v="2026-02-04T00:00:00"/>
  </r>
  <r>
    <x v="0"/>
    <s v="TX1100044252"/>
    <s v="Fiber Internet"/>
    <s v="TX"/>
    <s v="2026-02-04T00:00:00"/>
  </r>
  <r>
    <x v="0"/>
    <s v="TX1100044282"/>
    <s v="fQF Internet"/>
    <s v="TX"/>
    <s v="2026-02-04T00:00:00"/>
  </r>
  <r>
    <x v="0"/>
    <s v="TX1100044338"/>
    <s v="fQF Internet"/>
    <s v="TX"/>
    <s v="2026-02-05T00:00:00"/>
  </r>
  <r>
    <x v="0"/>
    <s v="TX1100044344"/>
    <s v="Fiber Internet+Value Added Services"/>
    <s v="TX"/>
    <s v="2026-02-05T00:00:00"/>
  </r>
  <r>
    <x v="0"/>
    <s v="TX1100044359"/>
    <s v="Fiber Internet"/>
    <s v="TX"/>
    <s v="2026-02-05T00:00:00"/>
  </r>
  <r>
    <x v="0"/>
    <s v="TX1100044417"/>
    <s v="Fiber Internet"/>
    <s v="TX"/>
    <s v="2026-02-05T00:00:00"/>
  </r>
  <r>
    <x v="0"/>
    <s v="TX1100044435"/>
    <s v="Fiber Internet"/>
    <s v="TX"/>
    <s v="2026-02-05T00:00:00"/>
  </r>
  <r>
    <x v="0"/>
    <s v="TX1100044453"/>
    <s v="Fiber Internet"/>
    <s v="TX"/>
    <s v="2026-02-05T00:00:00"/>
  </r>
  <r>
    <x v="0"/>
    <s v="TX1100044471"/>
    <s v="Fiber Internet"/>
    <s v="TX"/>
    <s v="2026-02-05T00:00:00"/>
  </r>
  <r>
    <x v="0"/>
    <s v="TX1100044516"/>
    <s v="Fiber Internet"/>
    <s v="TX"/>
    <s v="2026-02-06T00:00:00"/>
  </r>
  <r>
    <x v="0"/>
    <s v="TX1100044552"/>
    <s v="Fiber Internet"/>
    <s v="TX"/>
    <s v="2026-02-06T00:00:00"/>
  </r>
  <r>
    <x v="0"/>
    <s v="TX1100044594"/>
    <s v="fQF Internet"/>
    <s v="TX"/>
    <s v="2026-02-06T00:00:00"/>
  </r>
  <r>
    <x v="0"/>
    <s v="TX1100044616"/>
    <s v="fQF Internet"/>
    <s v="TX"/>
    <s v="2026-02-06T00:00:00"/>
  </r>
  <r>
    <x v="0"/>
    <s v="TX1100044670"/>
    <s v="Fiber Internet"/>
    <s v="TX"/>
    <s v="2026-02-06T00:00:00"/>
  </r>
  <r>
    <x v="0"/>
    <s v="TX1100044715"/>
    <s v="fQF Internet"/>
    <s v="TX"/>
    <s v="2026-02-06T00:00:00"/>
  </r>
  <r>
    <x v="0"/>
    <s v="TX1100044752"/>
    <s v="Fiber Internet"/>
    <s v="TX"/>
    <s v="2026-02-07T00:00:00"/>
  </r>
  <r>
    <x v="0"/>
    <s v="TX1100044775"/>
    <s v="Fiber Internet+Value Added Services"/>
    <s v="TX"/>
    <s v="2026-02-07T00:00:00"/>
  </r>
  <r>
    <x v="0"/>
    <s v="TX1100044858"/>
    <s v="Fiber Internet"/>
    <s v="TX"/>
    <s v="2026-02-07T00:00:00"/>
  </r>
  <r>
    <x v="0"/>
    <s v="TX1100044878"/>
    <s v="Fiber Internet"/>
    <s v="TX"/>
    <s v="2026-02-07T00:00:00"/>
  </r>
  <r>
    <x v="0"/>
    <s v="TX1100045049"/>
    <s v="Fiber Internet"/>
    <s v="TX"/>
    <s v="2026-02-09T00:00:00"/>
  </r>
  <r>
    <x v="0"/>
    <s v="TX1100045069"/>
    <s v="Fiber Internet"/>
    <s v="TX"/>
    <s v="2026-02-09T00:00:00"/>
  </r>
  <r>
    <x v="0"/>
    <s v="TX1100045077"/>
    <s v="BrightSpeed Internet"/>
    <s v="TX"/>
    <s v="2026-02-09T00:00:00"/>
  </r>
  <r>
    <x v="0"/>
    <s v="TX1100045113"/>
    <s v="Instant Internet"/>
    <s v="TX"/>
    <s v="2026-02-09T00:00:00"/>
  </r>
  <r>
    <x v="0"/>
    <s v="TX1100045193"/>
    <s v="Fiber Internet"/>
    <s v="TX"/>
    <s v="2026-02-09T00:00:00"/>
  </r>
  <r>
    <x v="0"/>
    <s v="TX1100045257"/>
    <s v="Fiber Internet"/>
    <s v="TX"/>
    <s v="2026-02-10T00:00:00"/>
  </r>
  <r>
    <x v="0"/>
    <s v="TX1100045264"/>
    <s v="Instant Internet"/>
    <s v="TX"/>
    <s v="2026-02-10T00:00:00"/>
  </r>
  <r>
    <x v="0"/>
    <s v="TX1100045266"/>
    <s v="Fiber Internet"/>
    <s v="TX"/>
    <s v="2026-02-10T00:00:00"/>
  </r>
  <r>
    <x v="0"/>
    <s v="TX1100045294"/>
    <s v="fQF Internet"/>
    <s v="TX"/>
    <s v="2026-02-10T00:00:00"/>
  </r>
  <r>
    <x v="0"/>
    <s v="TX1100045298"/>
    <s v="Fiber Internet"/>
    <s v="TX"/>
    <s v="2026-02-10T00:00:00"/>
  </r>
  <r>
    <x v="0"/>
    <s v="TX1100045303"/>
    <s v="Fiber Internet"/>
    <s v="TX"/>
    <s v="2026-02-10T00:00:00"/>
  </r>
  <r>
    <x v="0"/>
    <s v="TX1100045310"/>
    <s v="fQF Internet"/>
    <s v="TX"/>
    <s v="2026-02-10T00:00:00"/>
  </r>
  <r>
    <x v="0"/>
    <s v="TX1100045346"/>
    <s v="Fiber Internet"/>
    <s v="TX"/>
    <s v="2026-02-10T00:00:00"/>
  </r>
  <r>
    <x v="0"/>
    <s v="TX1100045391"/>
    <s v="Fiber Internet"/>
    <s v="TX"/>
    <s v="2026-02-10T00:00:00"/>
  </r>
  <r>
    <x v="0"/>
    <s v="TX1100045396"/>
    <s v="fQF Internet"/>
    <s v="TX"/>
    <s v="2026-02-10T00:00:00"/>
  </r>
  <r>
    <x v="0"/>
    <s v="TX1100045415"/>
    <s v="Fiber Internet"/>
    <s v="TX"/>
    <s v="2026-02-10T00:00:00"/>
  </r>
  <r>
    <x v="0"/>
    <s v="TX1100045421"/>
    <s v="Fiber Internet"/>
    <s v="TX"/>
    <s v="2026-02-10T00:00:00"/>
  </r>
  <r>
    <x v="0"/>
    <s v="TX1100045500"/>
    <s v="Instant Internet"/>
    <s v="TX"/>
    <s v="2026-02-11T00:00:00"/>
  </r>
  <r>
    <x v="0"/>
    <s v="TX1100045501"/>
    <s v="Instant Internet"/>
    <s v="TX"/>
    <s v="2026-02-11T00:00:00"/>
  </r>
  <r>
    <x v="0"/>
    <s v="TX1100045544"/>
    <s v="Fiber Internet"/>
    <s v="TX"/>
    <s v="2026-02-11T00:00:00"/>
  </r>
  <r>
    <x v="0"/>
    <s v="TX1100045562"/>
    <s v="Instant Internet"/>
    <s v="TX"/>
    <s v="2026-02-11T00:00:00"/>
  </r>
  <r>
    <x v="0"/>
    <s v="TX1100045595"/>
    <s v="Instant Internet"/>
    <s v="TX"/>
    <s v="2026-02-11T00:00:00"/>
  </r>
  <r>
    <x v="0"/>
    <s v="TX1100045657"/>
    <s v="Instant Internet"/>
    <s v="TX"/>
    <s v="2026-02-11T00:00:00"/>
  </r>
  <r>
    <x v="0"/>
    <s v="TX1100045667"/>
    <s v="Fiber Internet"/>
    <s v="TX"/>
    <s v="2026-02-12T00:00:00"/>
  </r>
  <r>
    <x v="0"/>
    <s v="TX1100045671"/>
    <s v="Fiber Internet"/>
    <s v="TX"/>
    <s v="2026-02-12T00:00:00"/>
  </r>
  <r>
    <x v="0"/>
    <s v="TX1100045676"/>
    <s v="fQF Internet"/>
    <s v="TX"/>
    <s v="2026-02-12T00:00:00"/>
  </r>
  <r>
    <x v="0"/>
    <s v="TX1100045758"/>
    <s v="Fiber Internet"/>
    <s v="TX"/>
    <s v="2026-02-12T00:00:00"/>
  </r>
  <r>
    <x v="0"/>
    <s v="TX1100045778"/>
    <s v="Fiber Internet"/>
    <s v="TX"/>
    <s v="2026-02-12T00:00:00"/>
  </r>
  <r>
    <x v="0"/>
    <s v="TX1100045785"/>
    <s v="Fiber Internet"/>
    <s v="TX"/>
    <s v="2026-02-12T00:00:00"/>
  </r>
  <r>
    <x v="0"/>
    <s v="TX1100045821"/>
    <s v="fQF Internet"/>
    <s v="TX"/>
    <s v="2026-02-13T00:00:00"/>
  </r>
  <r>
    <x v="0"/>
    <s v="TX1100045852"/>
    <s v="Fiber Internet"/>
    <s v="TX"/>
    <s v="2026-02-13T00:00:00"/>
  </r>
  <r>
    <x v="0"/>
    <s v="TX1100045885"/>
    <s v="Fiber Internet"/>
    <s v="TX"/>
    <s v="2026-02-13T00:00:00"/>
  </r>
  <r>
    <x v="0"/>
    <s v="TX1100045886"/>
    <s v="Fiber Internet+Value Added Services"/>
    <s v="TX"/>
    <s v="2026-02-13T00:00:00"/>
  </r>
  <r>
    <x v="0"/>
    <s v="TX1100045895"/>
    <s v="Instant Internet"/>
    <s v="TX"/>
    <s v="2026-02-13T00:00:00"/>
  </r>
  <r>
    <x v="0"/>
    <s v="TX1100045898"/>
    <s v="fQF Internet"/>
    <s v="TX"/>
    <s v="2026-02-13T00:00:00"/>
  </r>
  <r>
    <x v="0"/>
    <s v="TX1100045910"/>
    <s v="BrightSpeed Internet"/>
    <s v="TX"/>
    <s v="2026-02-13T00:00:00"/>
  </r>
  <r>
    <x v="0"/>
    <s v="TX1100045920"/>
    <s v="Fiber Internet"/>
    <s v="TX"/>
    <s v="2026-02-13T00:00:00"/>
  </r>
  <r>
    <x v="0"/>
    <s v="TX1100045946"/>
    <s v="fQF Internet"/>
    <s v="TX"/>
    <s v="2026-02-13T00:00:00"/>
  </r>
  <r>
    <x v="0"/>
    <s v="TX1100045988"/>
    <s v="Fiber Internet"/>
    <s v="TX"/>
    <s v="2026-02-14T00:00:00"/>
  </r>
  <r>
    <x v="0"/>
    <s v="TX1100046084"/>
    <s v="BrightSpeed Internet"/>
    <s v="TX"/>
    <s v="2026-02-14T00:00:00"/>
  </r>
  <r>
    <x v="0"/>
    <s v="TX1100046112"/>
    <s v="BrightSpeed Internet"/>
    <s v="TX"/>
    <s v="2026-02-15T00:00:00"/>
  </r>
  <r>
    <x v="0"/>
    <s v="TX1100046201"/>
    <s v="Fiber Internet"/>
    <s v="TX"/>
    <s v="2026-02-16T00:00:00"/>
  </r>
  <r>
    <x v="0"/>
    <s v="TX1100046231"/>
    <s v="fQF Internet"/>
    <s v="TX"/>
    <s v="2026-02-16T00:00:00"/>
  </r>
  <r>
    <x v="0"/>
    <s v="TX1100046243"/>
    <s v="Fiber Internet"/>
    <s v="TX"/>
    <s v="2026-02-16T00:00:00"/>
  </r>
  <r>
    <x v="0"/>
    <s v="TX1100046260"/>
    <s v="fQF Internet"/>
    <s v="TX"/>
    <s v="2026-02-16T00:00:00"/>
  </r>
  <r>
    <x v="0"/>
    <s v="TX1100046279"/>
    <s v="Instant Internet"/>
    <s v="TX"/>
    <s v="2026-02-16T00:00:00"/>
  </r>
  <r>
    <x v="0"/>
    <s v="TX1100046285"/>
    <s v="Instant Internet"/>
    <s v="TX"/>
    <s v="2026-02-16T00:00:00"/>
  </r>
  <r>
    <x v="0"/>
    <s v="TX1100046316"/>
    <s v="Instant Internet"/>
    <s v="TX"/>
    <s v="2026-02-17T00:00:00"/>
  </r>
  <r>
    <x v="0"/>
    <s v="TX1100046341"/>
    <s v="Fiber Internet"/>
    <s v="TX"/>
    <s v="2026-02-17T00:00:00"/>
  </r>
  <r>
    <x v="0"/>
    <s v="TX1100046342"/>
    <s v="Fiber Internet"/>
    <s v="TX"/>
    <s v="2026-02-17T00:00:00"/>
  </r>
  <r>
    <x v="0"/>
    <s v="TX2100002134"/>
    <s v="fQF Internet+fQF Voice"/>
    <s v="TX"/>
    <s v="2026-02-02T00:00:00"/>
  </r>
  <r>
    <x v="0"/>
    <s v="WI1100019192"/>
    <s v="Instant Internet"/>
    <s v="WI"/>
    <s v="2026-02-01T00:00:00"/>
  </r>
  <r>
    <x v="0"/>
    <s v="WI1100019202"/>
    <s v="Instant Internet"/>
    <s v="WI"/>
    <s v="2026-02-01T00:00:00"/>
  </r>
  <r>
    <x v="0"/>
    <s v="WI1100019206"/>
    <s v="Instant Internet"/>
    <s v="WI"/>
    <s v="2026-02-02T00:00:00"/>
  </r>
  <r>
    <x v="0"/>
    <s v="WI1100019211"/>
    <s v="Instant Internet"/>
    <s v="WI"/>
    <s v="2026-02-02T00:00:00"/>
  </r>
  <r>
    <x v="0"/>
    <s v="WI1100019235"/>
    <s v="Instant Internet"/>
    <s v="WI"/>
    <s v="2026-02-02T00:00:00"/>
  </r>
  <r>
    <x v="0"/>
    <s v="WI1100019237"/>
    <s v="Instant Internet"/>
    <s v="WI"/>
    <s v="2026-02-02T00:00:00"/>
  </r>
  <r>
    <x v="0"/>
    <s v="WI1100019239"/>
    <s v="Instant Internet"/>
    <s v="WI"/>
    <s v="2026-02-02T00:00:00"/>
  </r>
  <r>
    <x v="0"/>
    <s v="WI1100019287"/>
    <s v="Instant Internet"/>
    <s v="WI"/>
    <s v="2026-02-04T00:00:00"/>
  </r>
  <r>
    <x v="0"/>
    <s v="WI1100019293"/>
    <s v="fQF Internet"/>
    <s v="WI"/>
    <s v="2026-02-04T00:00:00"/>
  </r>
  <r>
    <x v="0"/>
    <s v="WI1100019306"/>
    <s v="Instant Internet"/>
    <s v="WI"/>
    <s v="2026-02-04T00:00:00"/>
  </r>
  <r>
    <x v="0"/>
    <s v="WI1100019307"/>
    <s v="Instant Internet"/>
    <s v="WI"/>
    <s v="2026-02-04T00:00:00"/>
  </r>
  <r>
    <x v="0"/>
    <s v="WI1100019313"/>
    <s v="Instant Internet"/>
    <s v="WI"/>
    <s v="2026-02-04T00:00:00"/>
  </r>
  <r>
    <x v="0"/>
    <s v="WI1100019317"/>
    <s v="Instant Internet"/>
    <s v="WI"/>
    <s v="2026-02-04T00:00:00"/>
  </r>
  <r>
    <x v="0"/>
    <s v="WI1100019324"/>
    <s v="Fiber Internet"/>
    <s v="WI"/>
    <s v="2026-02-05T00:00:00"/>
  </r>
  <r>
    <x v="0"/>
    <s v="WI1100019329"/>
    <s v="fQF Internet"/>
    <s v="WI"/>
    <s v="2026-02-05T00:00:00"/>
  </r>
  <r>
    <x v="0"/>
    <s v="WI1100019341"/>
    <s v="Instant Internet"/>
    <s v="WI"/>
    <s v="2026-02-05T00:00:00"/>
  </r>
  <r>
    <x v="0"/>
    <s v="WI1100019342"/>
    <s v="Instant Internet"/>
    <s v="WI"/>
    <s v="2026-02-05T00:00:00"/>
  </r>
  <r>
    <x v="0"/>
    <s v="WI1100019366"/>
    <s v="Instant Internet"/>
    <s v="WI"/>
    <s v="2026-02-06T00:00:00"/>
  </r>
  <r>
    <x v="0"/>
    <s v="WI1100019371"/>
    <s v="Instant Internet"/>
    <s v="WI"/>
    <s v="2026-02-06T00:00:00"/>
  </r>
  <r>
    <x v="0"/>
    <s v="WI1100019372"/>
    <s v="Instant Internet"/>
    <s v="WI"/>
    <s v="2026-02-06T00:00:00"/>
  </r>
  <r>
    <x v="0"/>
    <s v="WI1100019385"/>
    <s v="Fiber Internet"/>
    <s v="WI"/>
    <s v="2026-02-07T00:00:00"/>
  </r>
  <r>
    <x v="0"/>
    <s v="WI1100019390"/>
    <s v="DSL"/>
    <s v="WI"/>
    <s v="2026-02-07T00:00:00"/>
  </r>
  <r>
    <x v="0"/>
    <s v="WI1100019392"/>
    <s v="Instant Internet"/>
    <s v="WI"/>
    <s v="2026-02-07T00:00:00"/>
  </r>
  <r>
    <x v="0"/>
    <s v="WI1100019393"/>
    <s v="Instant Internet"/>
    <s v="WI"/>
    <s v="2026-02-07T00:00:00"/>
  </r>
  <r>
    <x v="0"/>
    <s v="WI1100019402"/>
    <s v="Instant Internet"/>
    <s v="WI"/>
    <s v="2026-02-09T00:00:00"/>
  </r>
  <r>
    <x v="0"/>
    <s v="WI1100019428"/>
    <s v="Instant Internet"/>
    <s v="WI"/>
    <s v="2026-02-10T00:00:00"/>
  </r>
  <r>
    <x v="0"/>
    <s v="WI1100019451"/>
    <s v="Fiber Internet"/>
    <s v="WI"/>
    <s v="2026-02-10T00:00:00"/>
  </r>
  <r>
    <x v="0"/>
    <s v="WI1100019465"/>
    <s v="Instant Internet"/>
    <s v="WI"/>
    <s v="2026-02-11T00:00:00"/>
  </r>
  <r>
    <x v="0"/>
    <s v="WI1100019468"/>
    <s v="Instant Internet"/>
    <s v="WI"/>
    <s v="2026-02-11T00:00:00"/>
  </r>
  <r>
    <x v="0"/>
    <s v="WI1100019484"/>
    <s v="Fiber Internet"/>
    <s v="WI"/>
    <s v="2026-02-11T00:00:00"/>
  </r>
  <r>
    <x v="0"/>
    <s v="WI1100019487"/>
    <s v="fQF Internet"/>
    <s v="WI"/>
    <s v="2026-02-11T00:00:00"/>
  </r>
  <r>
    <x v="0"/>
    <s v="WI1100019510"/>
    <s v="Instant Internet"/>
    <s v="WI"/>
    <s v="2026-02-13T00:00:00"/>
  </r>
  <r>
    <x v="0"/>
    <s v="WI1100019512"/>
    <s v="Fiber Internet"/>
    <s v="WI"/>
    <s v="2026-02-13T00:00:00"/>
  </r>
  <r>
    <x v="0"/>
    <s v="WI1100019515"/>
    <s v="Instant Internet"/>
    <s v="WI"/>
    <s v="2026-02-13T00:00:00"/>
  </r>
  <r>
    <x v="0"/>
    <s v="WI1100019594"/>
    <s v="Instant Internet"/>
    <s v="WI"/>
    <s v="2026-02-16T00:00:00"/>
  </r>
  <r>
    <x v="0"/>
    <s v="WI2100001673"/>
    <s v="Fiber Internet+Fiber Voice+Value Added Services"/>
    <s v="WI"/>
    <s v="2026-02-05T00:00:00"/>
  </r>
  <r>
    <x v="1"/>
    <s v="GA1100003274"/>
    <s v="Fiber Internet"/>
    <s v="GA"/>
    <s v="2026-02-04T00:00:00"/>
  </r>
  <r>
    <x v="1"/>
    <s v="GA1100003352"/>
    <s v="Fiber Internet"/>
    <s v="GA"/>
    <s v="2026-02-08T00:00:00"/>
  </r>
  <r>
    <x v="1"/>
    <s v="GA1100003365"/>
    <s v="Fiber Internet"/>
    <s v="GA"/>
    <s v="2026-02-10T00:00:00"/>
  </r>
  <r>
    <x v="1"/>
    <s v="GA1100003366"/>
    <s v="Fiber Internet"/>
    <s v="GA"/>
    <s v="2026-02-10T00:00:00"/>
  </r>
  <r>
    <x v="1"/>
    <s v="GA1100003405"/>
    <s v="Fiber Internet"/>
    <s v="GA"/>
    <s v="2026-02-16T00:00:00"/>
  </r>
  <r>
    <x v="1"/>
    <s v="IN1100024669"/>
    <s v="fQF Internet"/>
    <s v="IN"/>
    <s v="2026-02-02T00:00:00"/>
  </r>
  <r>
    <x v="1"/>
    <s v="IN1100024833"/>
    <s v="Fiber Internet"/>
    <s v="IN"/>
    <s v="2026-02-06T00:00:00"/>
  </r>
  <r>
    <x v="1"/>
    <s v="IN1100024960"/>
    <s v="fQF Internet"/>
    <s v="IN"/>
    <s v="2026-02-10T00:00:00"/>
  </r>
  <r>
    <x v="1"/>
    <s v="IN1100025059"/>
    <s v="fQF Internet"/>
    <s v="IN"/>
    <s v="2026-02-13T00:00:00"/>
  </r>
  <r>
    <x v="1"/>
    <s v="IN1100025079"/>
    <s v="Fiber Internet"/>
    <s v="IN"/>
    <s v="2026-02-15T00:00:00"/>
  </r>
  <r>
    <x v="1"/>
    <s v="IN1100025086"/>
    <s v="Fiber Internet"/>
    <s v="IN"/>
    <s v="2026-02-15T00:00:00"/>
  </r>
  <r>
    <x v="1"/>
    <s v="IN1100025130"/>
    <s v="Fiber Internet"/>
    <s v="IN"/>
    <s v="2026-02-17T00:00:00"/>
  </r>
  <r>
    <x v="1"/>
    <s v="NC1100167523"/>
    <s v="Fiber Internet"/>
    <s v="NC"/>
    <s v="2026-02-01T00:00:00"/>
  </r>
  <r>
    <x v="1"/>
    <s v="NC1100167528"/>
    <s v="Instant Internet"/>
    <s v="NC"/>
    <s v="2026-02-01T00:00:00"/>
  </r>
  <r>
    <x v="1"/>
    <s v="NC1100167553"/>
    <s v="Instant Internet"/>
    <s v="NC"/>
    <s v="2026-02-01T00:00:00"/>
  </r>
  <r>
    <x v="1"/>
    <s v="NC1100167600"/>
    <s v="Instant Internet"/>
    <s v="NC"/>
    <s v="2026-02-02T00:00:00"/>
  </r>
  <r>
    <x v="1"/>
    <s v="NC1100167620"/>
    <s v="Instant Internet"/>
    <s v="NC"/>
    <s v="2026-02-02T00:00:00"/>
  </r>
  <r>
    <x v="1"/>
    <s v="NC1100167671"/>
    <s v="Fiber Internet"/>
    <s v="NC"/>
    <s v="2026-02-02T00:00:00"/>
  </r>
  <r>
    <x v="1"/>
    <s v="NC1100167871"/>
    <s v="Instant Internet"/>
    <s v="NC"/>
    <s v="2026-02-03T00:00:00"/>
  </r>
  <r>
    <x v="1"/>
    <s v="NC1100167935"/>
    <s v="Instant Internet"/>
    <s v="NC"/>
    <s v="2026-02-03T00:00:00"/>
  </r>
  <r>
    <x v="1"/>
    <s v="NC1100167972"/>
    <s v="Fiber Internet"/>
    <s v="NC"/>
    <s v="2026-02-03T00:00:00"/>
  </r>
  <r>
    <x v="1"/>
    <s v="NC1100168216"/>
    <s v="Fiber Internet"/>
    <s v="NC"/>
    <s v="2026-02-04T00:00:00"/>
  </r>
  <r>
    <x v="1"/>
    <s v="NC1100168225"/>
    <s v="Fiber Internet"/>
    <s v="NC"/>
    <s v="2026-02-04T00:00:00"/>
  </r>
  <r>
    <x v="1"/>
    <s v="NC1100168309"/>
    <s v="fQF Internet"/>
    <s v="NC"/>
    <s v="2026-02-04T00:00:00"/>
  </r>
  <r>
    <x v="1"/>
    <s v="NC1100168503"/>
    <s v="Instant Internet"/>
    <s v="NC"/>
    <s v="2026-02-04T00:00:00"/>
  </r>
  <r>
    <x v="1"/>
    <s v="NC1100168628"/>
    <s v="Fiber Internet"/>
    <s v="NC"/>
    <s v="2026-02-05T00:00:00"/>
  </r>
  <r>
    <x v="1"/>
    <s v="NC1100168649"/>
    <s v="Instant Internet"/>
    <s v="NC"/>
    <s v="2026-02-05T00:00:00"/>
  </r>
  <r>
    <x v="1"/>
    <s v="NC1100168709"/>
    <s v="Instant Internet"/>
    <s v="NC"/>
    <s v="2026-02-05T00:00:00"/>
  </r>
  <r>
    <x v="1"/>
    <s v="NC1100168869"/>
    <s v="Instant Internet"/>
    <s v="NC"/>
    <s v="2026-02-06T00:00:00"/>
  </r>
  <r>
    <x v="1"/>
    <s v="NC1100168883"/>
    <s v="Fiber Internet"/>
    <s v="NC"/>
    <s v="2026-02-06T00:00:00"/>
  </r>
  <r>
    <x v="1"/>
    <s v="NC1100168884"/>
    <s v="Instant Internet"/>
    <s v="NC"/>
    <s v="2026-02-06T00:00:00"/>
  </r>
  <r>
    <x v="1"/>
    <s v="NC1100168888"/>
    <s v="Instant Internet"/>
    <s v="NC"/>
    <s v="2026-02-06T00:00:00"/>
  </r>
  <r>
    <x v="1"/>
    <s v="NC1100168895"/>
    <s v="Fiber Internet"/>
    <s v="NC"/>
    <s v="2026-02-06T00:00:00"/>
  </r>
  <r>
    <x v="1"/>
    <s v="NC1100168918"/>
    <s v="Fiber Internet"/>
    <s v="NC"/>
    <s v="2026-02-06T00:00:00"/>
  </r>
  <r>
    <x v="1"/>
    <s v="NC1100168961"/>
    <s v="Fiber Internet"/>
    <s v="NC"/>
    <s v="2026-02-06T00:00:00"/>
  </r>
  <r>
    <x v="1"/>
    <s v="NC1100169184"/>
    <s v="Fiber Internet"/>
    <s v="NC"/>
    <s v="2026-02-07T00:00:00"/>
  </r>
  <r>
    <x v="1"/>
    <s v="NC1100169212"/>
    <s v="Fiber Internet"/>
    <s v="NC"/>
    <s v="2026-02-07T00:00:00"/>
  </r>
  <r>
    <x v="1"/>
    <s v="NC1100169249"/>
    <s v="BrightSpeed Internet"/>
    <s v="NC"/>
    <s v="2026-02-07T00:00:00"/>
  </r>
  <r>
    <x v="1"/>
    <s v="NC1100169260"/>
    <s v="BrightSpeed Internet"/>
    <s v="NC"/>
    <s v="2026-02-07T00:00:00"/>
  </r>
  <r>
    <x v="1"/>
    <s v="NC1100169273"/>
    <s v="BrightSpeed Internet"/>
    <s v="NC"/>
    <s v="2026-02-07T00:00:00"/>
  </r>
  <r>
    <x v="1"/>
    <s v="NC1100169276"/>
    <s v="BrightSpeed Internet"/>
    <s v="NC"/>
    <s v="2026-02-07T00:00:00"/>
  </r>
  <r>
    <x v="1"/>
    <s v="NC1100169279"/>
    <s v="BrightSpeed Internet"/>
    <s v="NC"/>
    <s v="2026-02-07T00:00:00"/>
  </r>
  <r>
    <x v="1"/>
    <s v="NC1100169292"/>
    <s v="BrightSpeed Internet"/>
    <s v="NC"/>
    <s v="2026-02-07T00:00:00"/>
  </r>
  <r>
    <x v="1"/>
    <s v="NC1100169296"/>
    <s v="BrightSpeed Internet"/>
    <s v="NC"/>
    <s v="2026-02-07T00:00:00"/>
  </r>
  <r>
    <x v="1"/>
    <s v="NC1100169320"/>
    <s v="BrightSpeed Internet"/>
    <s v="NC"/>
    <s v="2026-02-07T00:00:00"/>
  </r>
  <r>
    <x v="1"/>
    <s v="NC1100169326"/>
    <s v="BrightSpeed Internet"/>
    <s v="NC"/>
    <s v="2026-02-07T00:00:00"/>
  </r>
  <r>
    <x v="1"/>
    <s v="NC1100169330"/>
    <s v="BrightSpeed Internet"/>
    <s v="NC"/>
    <s v="2026-02-07T00:00:00"/>
  </r>
  <r>
    <x v="1"/>
    <s v="NC1100169401"/>
    <s v="Instant Internet"/>
    <s v="NC"/>
    <s v="2026-02-07T00:00:00"/>
  </r>
  <r>
    <x v="1"/>
    <s v="NC1100169442"/>
    <s v="Instant Internet+Value Added Services"/>
    <s v="NC"/>
    <s v="2026-02-08T00:00:00"/>
  </r>
  <r>
    <x v="1"/>
    <s v="NC1100169443"/>
    <s v="Instant Internet"/>
    <s v="NC"/>
    <s v="2026-02-08T00:00:00"/>
  </r>
  <r>
    <x v="1"/>
    <s v="NC1100169477"/>
    <s v="Instant Internet"/>
    <s v="NC"/>
    <s v="2026-02-08T00:00:00"/>
  </r>
  <r>
    <x v="1"/>
    <s v="NC1100169522"/>
    <s v="Fiber Internet"/>
    <s v="NC"/>
    <s v="2026-02-08T00:00:00"/>
  </r>
  <r>
    <x v="1"/>
    <s v="NC1100169555"/>
    <s v="Fiber Internet+Value Added Services"/>
    <s v="NC"/>
    <s v="2026-02-09T00:00:00"/>
  </r>
  <r>
    <x v="1"/>
    <s v="NC1100169627"/>
    <s v="Fiber Internet"/>
    <s v="NC"/>
    <s v="2026-02-09T00:00:00"/>
  </r>
  <r>
    <x v="1"/>
    <s v="NC1100169760"/>
    <s v="Instant Internet"/>
    <s v="NC"/>
    <s v="2026-02-09T00:00:00"/>
  </r>
  <r>
    <x v="1"/>
    <s v="NC1100169885"/>
    <s v="Fiber Internet"/>
    <s v="NC"/>
    <s v="2026-02-09T00:00:00"/>
  </r>
  <r>
    <x v="1"/>
    <s v="NC1100169891"/>
    <s v="Fiber Internet"/>
    <s v="NC"/>
    <s v="2026-02-09T00:00:00"/>
  </r>
  <r>
    <x v="1"/>
    <s v="NC1100169914"/>
    <s v="Instant Internet"/>
    <s v="NC"/>
    <s v="2026-02-10T00:00:00"/>
  </r>
  <r>
    <x v="1"/>
    <s v="NC1100170009"/>
    <s v="Fiber Internet"/>
    <s v="NC"/>
    <s v="2026-02-10T00:00:00"/>
  </r>
  <r>
    <x v="1"/>
    <s v="NC1100170073"/>
    <s v="Fiber Internet+Value Added Services"/>
    <s v="NC"/>
    <s v="2026-02-10T00:00:00"/>
  </r>
  <r>
    <x v="1"/>
    <s v="NC1100170401"/>
    <s v="Instant Internet"/>
    <s v="NC"/>
    <s v="2026-02-11T00:00:00"/>
  </r>
  <r>
    <x v="1"/>
    <s v="NC1100170536"/>
    <s v="Instant Internet"/>
    <s v="NC"/>
    <s v="2026-02-11T00:00:00"/>
  </r>
  <r>
    <x v="1"/>
    <s v="NC1100170700"/>
    <s v="Fiber Internet"/>
    <s v="NC"/>
    <s v="2026-02-12T00:00:00"/>
  </r>
  <r>
    <x v="1"/>
    <s v="NC1100170703"/>
    <s v="Fiber Internet"/>
    <s v="NC"/>
    <s v="2026-02-12T00:00:00"/>
  </r>
  <r>
    <x v="1"/>
    <s v="NC1100170764"/>
    <s v="Fiber Internet"/>
    <s v="NC"/>
    <s v="2026-02-12T00:00:00"/>
  </r>
  <r>
    <x v="1"/>
    <s v="NC1100170839"/>
    <s v="Instant Internet"/>
    <s v="NC"/>
    <s v="2026-02-12T00:00:00"/>
  </r>
  <r>
    <x v="1"/>
    <s v="NC1100170951"/>
    <s v="Instant Internet"/>
    <s v="NC"/>
    <s v="2026-02-12T00:00:00"/>
  </r>
  <r>
    <x v="1"/>
    <s v="NC1100170968"/>
    <s v="Fiber Internet"/>
    <s v="NC"/>
    <s v="2026-02-12T00:00:00"/>
  </r>
  <r>
    <x v="1"/>
    <s v="NC1100171099"/>
    <s v="Fiber Internet"/>
    <s v="NC"/>
    <s v="2026-02-13T00:00:00"/>
  </r>
  <r>
    <x v="1"/>
    <s v="NC1100171167"/>
    <s v="Instant Internet"/>
    <s v="NC"/>
    <s v="2026-02-13T00:00:00"/>
  </r>
  <r>
    <x v="1"/>
    <s v="NC1100171176"/>
    <s v="Instant Internet"/>
    <s v="NC"/>
    <s v="2026-02-13T00:00:00"/>
  </r>
  <r>
    <x v="1"/>
    <s v="NC1100171214"/>
    <s v="Instant Internet"/>
    <s v="NC"/>
    <s v="2026-02-13T00:00:00"/>
  </r>
  <r>
    <x v="1"/>
    <s v="NC1100171290"/>
    <s v="Instant Internet"/>
    <s v="NC"/>
    <s v="2026-02-13T00:00:00"/>
  </r>
  <r>
    <x v="1"/>
    <s v="NC1100171369"/>
    <s v="Instant Internet"/>
    <s v="NC"/>
    <s v="2026-02-13T00:00:00"/>
  </r>
  <r>
    <x v="1"/>
    <s v="NC1100171684"/>
    <s v="Instant Internet"/>
    <s v="NC"/>
    <s v="2026-02-15T00:00:00"/>
  </r>
  <r>
    <x v="1"/>
    <s v="NC1100171747"/>
    <s v="Instant Internet"/>
    <s v="NC"/>
    <s v="2026-02-15T00:00:00"/>
  </r>
  <r>
    <x v="1"/>
    <s v="NC1100171750"/>
    <s v="Instant Internet"/>
    <s v="NC"/>
    <s v="2026-02-16T00:00:00"/>
  </r>
  <r>
    <x v="1"/>
    <s v="NC1100171803"/>
    <s v="Instant Internet"/>
    <s v="NC"/>
    <s v="2026-02-16T00:00:00"/>
  </r>
  <r>
    <x v="1"/>
    <s v="NC1100171814"/>
    <s v="Fiber Internet"/>
    <s v="NC"/>
    <s v="2026-02-16T00:00:00"/>
  </r>
  <r>
    <x v="1"/>
    <s v="NC1100171888"/>
    <s v="Fiber Internet"/>
    <s v="NC"/>
    <s v="2026-02-16T00:00:00"/>
  </r>
  <r>
    <x v="1"/>
    <s v="NC1100171964"/>
    <s v="Fiber Internet"/>
    <s v="NC"/>
    <s v="2026-02-16T00:00:00"/>
  </r>
  <r>
    <x v="1"/>
    <s v="NC1100171997"/>
    <s v="BrightSpeed Internet+Value Added Services"/>
    <s v="NC"/>
    <s v="2026-02-16T00:00:00"/>
  </r>
  <r>
    <x v="1"/>
    <s v="NC1100172034"/>
    <s v="BrightSpeed Internet"/>
    <s v="NC"/>
    <s v="2026-02-16T00:00:00"/>
  </r>
  <r>
    <x v="1"/>
    <s v="NC1100172089"/>
    <s v="Fiber Internet"/>
    <s v="NC"/>
    <s v="2026-02-16T00:00:00"/>
  </r>
  <r>
    <x v="1"/>
    <s v="NC1100172159"/>
    <s v="Fiber Internet"/>
    <s v="NC"/>
    <s v="2026-02-17T00:00:00"/>
  </r>
  <r>
    <x v="1"/>
    <s v="NC1100172195"/>
    <s v="Instant Internet"/>
    <s v="NC"/>
    <s v="2026-02-17T00:00:00"/>
  </r>
  <r>
    <x v="1"/>
    <s v="NC1100172251"/>
    <s v="DSL"/>
    <s v="NC"/>
    <s v="2026-02-17T00:00:00"/>
  </r>
  <r>
    <x v="1"/>
    <s v="NC1100172259"/>
    <s v="Instant Internet+Value Added Services"/>
    <s v="NC"/>
    <s v="2026-02-17T00:00:00"/>
  </r>
  <r>
    <x v="1"/>
    <s v="OH1100067342"/>
    <s v="BrightSpeed Internet"/>
    <s v="OH"/>
    <s v="2026-02-01T00:00:00"/>
  </r>
  <r>
    <x v="1"/>
    <s v="OH1100067501"/>
    <s v="BrightSpeed Internet"/>
    <s v="OH"/>
    <s v="2026-02-03T00:00:00"/>
  </r>
  <r>
    <x v="1"/>
    <s v="OH1100067504"/>
    <s v="BrightSpeed Internet"/>
    <s v="OH"/>
    <s v="2026-02-03T00:00:00"/>
  </r>
  <r>
    <x v="1"/>
    <s v="OH1100067555"/>
    <s v="BrightSpeed Internet+Value Added Services"/>
    <s v="OH"/>
    <s v="2026-02-03T00:00:00"/>
  </r>
  <r>
    <x v="1"/>
    <s v="OH1100067561"/>
    <s v="BrightSpeed Internet"/>
    <s v="OH"/>
    <s v="2026-02-03T00:00:00"/>
  </r>
  <r>
    <x v="1"/>
    <s v="OH1100067585"/>
    <s v="Instant Internet"/>
    <s v="OH"/>
    <s v="2026-02-04T00:00:00"/>
  </r>
  <r>
    <x v="1"/>
    <s v="OH1100067607"/>
    <s v="BrightSpeed Internet"/>
    <s v="OH"/>
    <s v="2026-02-04T00:00:00"/>
  </r>
  <r>
    <x v="1"/>
    <s v="OH1100067656"/>
    <s v="Fiber Internet"/>
    <s v="OH"/>
    <s v="2026-02-04T00:00:00"/>
  </r>
  <r>
    <x v="1"/>
    <s v="OH1100067669"/>
    <s v="Fiber Internet+Value Added Services"/>
    <s v="OH"/>
    <s v="2026-02-04T00:00:00"/>
  </r>
  <r>
    <x v="1"/>
    <s v="OH1100067701"/>
    <s v="Fiber Internet"/>
    <s v="OH"/>
    <s v="2026-02-05T00:00:00"/>
  </r>
  <r>
    <x v="1"/>
    <s v="OH1100067949"/>
    <s v="Instant Internet"/>
    <s v="OH"/>
    <s v="2026-02-07T00:00:00"/>
  </r>
  <r>
    <x v="1"/>
    <s v="OH1100067969"/>
    <s v="Fiber Internet"/>
    <s v="OH"/>
    <s v="2026-02-08T00:00:00"/>
  </r>
  <r>
    <x v="1"/>
    <s v="OH1100068009"/>
    <s v="Instant Internet"/>
    <s v="OH"/>
    <s v="2026-02-08T00:00:00"/>
  </r>
  <r>
    <x v="1"/>
    <s v="OH1100068033"/>
    <s v="BrightSpeed Internet"/>
    <s v="OH"/>
    <s v="2026-02-09T00:00:00"/>
  </r>
  <r>
    <x v="1"/>
    <s v="OH1100068130"/>
    <s v="BrightSpeed Internet"/>
    <s v="OH"/>
    <s v="2026-02-10T00:00:00"/>
  </r>
  <r>
    <x v="1"/>
    <s v="OH1100068162"/>
    <s v="Fiber Internet"/>
    <s v="OH"/>
    <s v="2026-02-10T00:00:00"/>
  </r>
  <r>
    <x v="1"/>
    <s v="OH1100068243"/>
    <s v="Fiber Internet"/>
    <s v="OH"/>
    <s v="2026-02-11T00:00:00"/>
  </r>
  <r>
    <x v="1"/>
    <s v="OH1100068251"/>
    <s v="BrightSpeed Internet"/>
    <s v="OH"/>
    <s v="2026-02-11T00:00:00"/>
  </r>
  <r>
    <x v="1"/>
    <s v="OH1100068359"/>
    <s v="BrightSpeed Internet"/>
    <s v="OH"/>
    <s v="2026-02-12T00:00:00"/>
  </r>
  <r>
    <x v="1"/>
    <s v="OH1100068488"/>
    <s v="BrightSpeed Internet"/>
    <s v="OH"/>
    <s v="2026-02-13T00:00:00"/>
  </r>
  <r>
    <x v="1"/>
    <s v="OH1100068718"/>
    <s v="Fiber Internet+Value Added Services"/>
    <s v="OH"/>
    <s v="2026-02-15T00:00:00"/>
  </r>
  <r>
    <x v="1"/>
    <s v="OH1100068722"/>
    <s v="BrightSpeed Internet"/>
    <s v="OH"/>
    <s v="2026-02-15T00:00:00"/>
  </r>
  <r>
    <x v="1"/>
    <s v="OH1100068723"/>
    <s v="BrightSpeed Internet"/>
    <s v="OH"/>
    <s v="2026-02-15T00:00:00"/>
  </r>
  <r>
    <x v="1"/>
    <s v="OH1100068743"/>
    <s v="BrightSpeed Internet"/>
    <s v="OH"/>
    <s v="2026-02-15T00:00:00"/>
  </r>
  <r>
    <x v="1"/>
    <s v="OH1100068824"/>
    <s v="BrightSpeed Internet"/>
    <s v="OH"/>
    <s v="2026-02-16T00:00:00"/>
  </r>
  <r>
    <x v="1"/>
    <s v="OH2100005205"/>
    <s v="BrightSpeed Internet+BrightSpeed Voice"/>
    <s v="OH"/>
    <s v="2026-02-13T00:00:00"/>
  </r>
  <r>
    <x v="1"/>
    <s v="SC1100014236"/>
    <s v="Instant Internet"/>
    <s v="SC"/>
    <s v="2026-02-02T00:00:00"/>
  </r>
  <r>
    <x v="1"/>
    <s v="SC1100014237"/>
    <s v="Instant Internet"/>
    <s v="SC"/>
    <s v="2026-02-02T00:00:00"/>
  </r>
  <r>
    <x v="1"/>
    <s v="SC1100014245"/>
    <s v="Instant Internet"/>
    <s v="SC"/>
    <s v="2026-02-02T00:00:00"/>
  </r>
  <r>
    <x v="1"/>
    <s v="SC1100014323"/>
    <s v="Instant Internet"/>
    <s v="SC"/>
    <s v="2026-02-04T00:00:00"/>
  </r>
  <r>
    <x v="1"/>
    <s v="SC1100014380"/>
    <s v="Instant Internet"/>
    <s v="SC"/>
    <s v="2026-02-06T00:00:00"/>
  </r>
  <r>
    <x v="1"/>
    <s v="SC1100014382"/>
    <s v="Instant Internet"/>
    <s v="SC"/>
    <s v="2026-02-06T00:00:00"/>
  </r>
  <r>
    <x v="1"/>
    <s v="SC1100014452"/>
    <s v="Instant Internet"/>
    <s v="SC"/>
    <s v="2026-02-07T00:00:00"/>
  </r>
  <r>
    <x v="1"/>
    <s v="SC1100014502"/>
    <s v="fQF Internet"/>
    <s v="SC"/>
    <s v="2026-02-09T00:00:00"/>
  </r>
  <r>
    <x v="1"/>
    <s v="SC1100014593"/>
    <s v="Instant Internet"/>
    <s v="SC"/>
    <s v="2026-02-12T00:00:00"/>
  </r>
  <r>
    <x v="1"/>
    <s v="SC1100014649"/>
    <s v="Instant Internet"/>
    <s v="SC"/>
    <s v="2026-02-14T00:00:00"/>
  </r>
  <r>
    <x v="1"/>
    <s v="SC1100014671"/>
    <s v="Instant Internet"/>
    <s v="SC"/>
    <s v="2026-02-16T00:00:00"/>
  </r>
  <r>
    <x v="1"/>
    <s v="SC1100014680"/>
    <s v="fQF Internet"/>
    <s v="SC"/>
    <s v="2026-02-16T00:00:00"/>
  </r>
  <r>
    <x v="1"/>
    <s v="SC1100014685"/>
    <s v="Instant Internet"/>
    <s v="SC"/>
    <s v="2026-02-16T00:00:00"/>
  </r>
  <r>
    <x v="1"/>
    <s v="TN1100032394"/>
    <s v="BrightSpeed Internet+Value Added Services"/>
    <s v="TN"/>
    <s v="2026-02-03T00:00:00"/>
  </r>
  <r>
    <x v="1"/>
    <s v="TN1100032395"/>
    <s v="Instant Internet"/>
    <s v="TN"/>
    <s v="2026-02-03T00:00:00"/>
  </r>
  <r>
    <x v="1"/>
    <s v="TN1100032428"/>
    <s v="Instant Internet"/>
    <s v="TN"/>
    <s v="2026-02-03T00:00:00"/>
  </r>
  <r>
    <x v="1"/>
    <s v="TN1100032452"/>
    <s v="Instant Internet"/>
    <s v="TN"/>
    <s v="2026-02-04T00:00:00"/>
  </r>
  <r>
    <x v="1"/>
    <s v="TN1100032774"/>
    <s v="Fiber Internet"/>
    <s v="TN"/>
    <s v="2026-02-09T00:00:00"/>
  </r>
  <r>
    <x v="1"/>
    <s v="TN1100033031"/>
    <s v="Instant Internet"/>
    <s v="TN"/>
    <s v="2026-02-12T00:00:00"/>
  </r>
  <r>
    <x v="1"/>
    <s v="TN1100033075"/>
    <s v="Fiber Internet"/>
    <s v="TN"/>
    <s v="2026-02-12T00:00:00"/>
  </r>
  <r>
    <x v="1"/>
    <s v="TN1100033170"/>
    <s v="Fiber Internet"/>
    <s v="TN"/>
    <s v="2026-02-14T00:00:00"/>
  </r>
  <r>
    <x v="1"/>
    <s v="VA1100025035"/>
    <s v="Fiber Internet"/>
    <s v="VA"/>
    <s v="2026-02-04T00:00:00"/>
  </r>
  <r>
    <x v="1"/>
    <s v="VA1100025525"/>
    <s v="fQF Internet"/>
    <s v="VA"/>
    <s v="2026-02-16T00:00:00"/>
  </r>
  <r>
    <x v="1"/>
    <s v="VA1100025552"/>
    <s v="Instant Internet"/>
    <s v="VA"/>
    <s v="2026-02-17T00:00:00"/>
  </r>
  <r>
    <x v="1"/>
    <s v="VA1100025553"/>
    <s v="fQF Internet"/>
    <s v="VA"/>
    <s v="2026-02-17T00:00:00"/>
  </r>
  <r>
    <x v="1"/>
    <s v="VA1100025556"/>
    <s v="fQF Internet"/>
    <s v="VA"/>
    <s v="2026-02-17T00:00:00"/>
  </r>
  <r>
    <x v="2"/>
    <s v="KS1100009566"/>
    <s v="Instant Internet"/>
    <s v="KS"/>
    <s v="2026-02-01T00:00:00"/>
  </r>
  <r>
    <x v="2"/>
    <s v="KS1100009571"/>
    <s v="Fiber Internet"/>
    <s v="KS"/>
    <s v="2026-02-02T00:00:00"/>
  </r>
  <r>
    <x v="2"/>
    <s v="KS1100009574"/>
    <s v="Instant Internet"/>
    <s v="KS"/>
    <s v="2026-02-02T00:00:00"/>
  </r>
  <r>
    <x v="2"/>
    <s v="KS1100009589"/>
    <s v="Instant Internet"/>
    <s v="KS"/>
    <s v="2026-02-02T00:00:00"/>
  </r>
  <r>
    <x v="2"/>
    <s v="KS1100009629"/>
    <s v="Fiber Internet"/>
    <s v="KS"/>
    <s v="2026-02-04T00:00:00"/>
  </r>
  <r>
    <x v="2"/>
    <s v="KS1100009737"/>
    <s v="Fiber Internet"/>
    <s v="KS"/>
    <s v="2026-02-10T00:00:00"/>
  </r>
  <r>
    <x v="2"/>
    <s v="KS1100009799"/>
    <s v="Instant Internet"/>
    <s v="KS"/>
    <s v="2026-02-13T00:00:00"/>
  </r>
  <r>
    <x v="2"/>
    <s v="MO1100079652"/>
    <s v="Fiber Internet"/>
    <s v="MO"/>
    <s v="2026-02-01T00:00:00"/>
  </r>
  <r>
    <x v="2"/>
    <s v="MO1100079657"/>
    <s v="Instant Internet+Value Added Services"/>
    <s v="MO"/>
    <s v="2026-02-01T00:00:00"/>
  </r>
  <r>
    <x v="2"/>
    <s v="MO1100079663"/>
    <s v="fQF Internet"/>
    <s v="MO"/>
    <s v="2026-02-01T00:00:00"/>
  </r>
  <r>
    <x v="2"/>
    <s v="MO1100079665"/>
    <s v="Instant Internet"/>
    <s v="MO"/>
    <s v="2026-02-01T00:00:00"/>
  </r>
  <r>
    <x v="2"/>
    <s v="MO1100079671"/>
    <s v="DSL"/>
    <s v="MO"/>
    <s v="2026-02-01T00:00:00"/>
  </r>
  <r>
    <x v="2"/>
    <s v="MO1100079673"/>
    <s v="Instant Internet"/>
    <s v="MO"/>
    <s v="2026-02-01T00:00:00"/>
  </r>
  <r>
    <x v="2"/>
    <s v="MO1100079679"/>
    <s v="Fiber Internet"/>
    <s v="MO"/>
    <s v="2026-02-01T00:00:00"/>
  </r>
  <r>
    <x v="2"/>
    <s v="MO1100079684"/>
    <s v="Instant Internet"/>
    <s v="MO"/>
    <s v="2026-02-02T00:00:00"/>
  </r>
  <r>
    <x v="2"/>
    <s v="MO1100079708"/>
    <s v="Fiber Internet"/>
    <s v="MO"/>
    <s v="2026-02-02T00:00:00"/>
  </r>
  <r>
    <x v="2"/>
    <s v="MO1100079718"/>
    <s v="Fiber Internet"/>
    <s v="MO"/>
    <s v="2026-02-02T00:00:00"/>
  </r>
  <r>
    <x v="2"/>
    <s v="MO1100079721"/>
    <s v="Instant Internet"/>
    <s v="MO"/>
    <s v="2026-02-02T00:00:00"/>
  </r>
  <r>
    <x v="2"/>
    <s v="MO1100079724"/>
    <s v="fQF Internet"/>
    <s v="MO"/>
    <s v="2026-02-02T00:00:00"/>
  </r>
  <r>
    <x v="2"/>
    <s v="MO1100079727"/>
    <s v="Fiber Internet"/>
    <s v="MO"/>
    <s v="2026-02-02T00:00:00"/>
  </r>
  <r>
    <x v="2"/>
    <s v="MO1100079742"/>
    <s v="Fiber Internet"/>
    <s v="MO"/>
    <s v="2026-02-02T00:00:00"/>
  </r>
  <r>
    <x v="2"/>
    <s v="MO1100079768"/>
    <s v="Fiber Internet"/>
    <s v="MO"/>
    <s v="2026-02-02T00:00:00"/>
  </r>
  <r>
    <x v="2"/>
    <s v="MO1100079810"/>
    <s v="fQF Internet"/>
    <s v="MO"/>
    <s v="2026-02-03T00:00:00"/>
  </r>
  <r>
    <x v="2"/>
    <s v="MO1100079842"/>
    <s v="Fiber Internet"/>
    <s v="MO"/>
    <s v="2026-02-03T00:00:00"/>
  </r>
  <r>
    <x v="2"/>
    <s v="MO1100079855"/>
    <s v="Fiber Internet"/>
    <s v="MO"/>
    <s v="2026-02-03T00:00:00"/>
  </r>
  <r>
    <x v="2"/>
    <s v="MO1100079868"/>
    <s v="Fiber Internet"/>
    <s v="MO"/>
    <s v="2026-02-03T00:00:00"/>
  </r>
  <r>
    <x v="2"/>
    <s v="MO1100079872"/>
    <s v="fQF Internet"/>
    <s v="MO"/>
    <s v="2026-02-04T00:00:00"/>
  </r>
  <r>
    <x v="2"/>
    <s v="MO1100079878"/>
    <s v="Instant Internet"/>
    <s v="MO"/>
    <s v="2026-02-04T00:00:00"/>
  </r>
  <r>
    <x v="2"/>
    <s v="MO1100079915"/>
    <s v="Fiber Internet"/>
    <s v="MO"/>
    <s v="2026-02-04T00:00:00"/>
  </r>
  <r>
    <x v="2"/>
    <s v="MO1100079923"/>
    <s v="fQF Internet"/>
    <s v="MO"/>
    <s v="2026-02-04T00:00:00"/>
  </r>
  <r>
    <x v="2"/>
    <s v="MO1100079929"/>
    <s v="fQF Internet+Value Added Services"/>
    <s v="MO"/>
    <s v="2026-02-04T00:00:00"/>
  </r>
  <r>
    <x v="2"/>
    <s v="MO1100079932"/>
    <s v="Instant Internet"/>
    <s v="MO"/>
    <s v="2026-02-04T00:00:00"/>
  </r>
  <r>
    <x v="2"/>
    <s v="MO1100079995"/>
    <s v="Instant Internet"/>
    <s v="MO"/>
    <s v="2026-02-05T00:00:00"/>
  </r>
  <r>
    <x v="2"/>
    <s v="MO1100080010"/>
    <s v="fQF Internet"/>
    <s v="MO"/>
    <s v="2026-02-05T00:00:00"/>
  </r>
  <r>
    <x v="2"/>
    <s v="MO1100080019"/>
    <s v="Fiber Internet"/>
    <s v="MO"/>
    <s v="2026-02-05T00:00:00"/>
  </r>
  <r>
    <x v="2"/>
    <s v="MO1100080037"/>
    <s v="Instant Internet"/>
    <s v="MO"/>
    <s v="2026-02-05T00:00:00"/>
  </r>
  <r>
    <x v="2"/>
    <s v="MO1100080041"/>
    <s v="Fiber Internet"/>
    <s v="MO"/>
    <s v="2026-02-05T00:00:00"/>
  </r>
  <r>
    <x v="2"/>
    <s v="MO1100080049"/>
    <s v="Fiber Internet"/>
    <s v="MO"/>
    <s v="2026-02-05T00:00:00"/>
  </r>
  <r>
    <x v="2"/>
    <s v="MO1100080065"/>
    <s v="Fiber Internet"/>
    <s v="MO"/>
    <s v="2026-02-06T00:00:00"/>
  </r>
  <r>
    <x v="2"/>
    <s v="MO1100080067"/>
    <s v="Fiber Internet"/>
    <s v="MO"/>
    <s v="2026-02-06T00:00:00"/>
  </r>
  <r>
    <x v="2"/>
    <s v="MO1100080068"/>
    <s v="Instant Internet"/>
    <s v="MO"/>
    <s v="2026-02-06T00:00:00"/>
  </r>
  <r>
    <x v="2"/>
    <s v="MO1100080079"/>
    <s v="Instant Internet+Value Added Services"/>
    <s v="MO"/>
    <s v="2026-02-06T00:00:00"/>
  </r>
  <r>
    <x v="2"/>
    <s v="MO1100080127"/>
    <s v="Fiber Internet"/>
    <s v="MO"/>
    <s v="2026-02-06T00:00:00"/>
  </r>
  <r>
    <x v="2"/>
    <s v="MO1100080128"/>
    <s v="Fiber Internet"/>
    <s v="MO"/>
    <s v="2026-02-06T00:00:00"/>
  </r>
  <r>
    <x v="2"/>
    <s v="MO1100080131"/>
    <s v="Fiber Internet"/>
    <s v="MO"/>
    <s v="2026-02-06T00:00:00"/>
  </r>
  <r>
    <x v="2"/>
    <s v="MO1100080155"/>
    <s v="DSL"/>
    <s v="MO"/>
    <s v="2026-02-06T00:00:00"/>
  </r>
  <r>
    <x v="2"/>
    <s v="MO1100080157"/>
    <s v="Fiber Internet"/>
    <s v="MO"/>
    <s v="2026-02-06T00:00:00"/>
  </r>
  <r>
    <x v="2"/>
    <s v="MO1100080164"/>
    <s v="Instant Internet"/>
    <s v="MO"/>
    <s v="2026-02-06T00:00:00"/>
  </r>
  <r>
    <x v="2"/>
    <s v="MO1100080176"/>
    <s v="Fiber Internet"/>
    <s v="MO"/>
    <s v="2026-02-06T00:00:00"/>
  </r>
  <r>
    <x v="2"/>
    <s v="MO1100080186"/>
    <s v="fQF Internet"/>
    <s v="MO"/>
    <s v="2026-02-07T00:00:00"/>
  </r>
  <r>
    <x v="2"/>
    <s v="MO1100080199"/>
    <s v="Fiber Internet"/>
    <s v="MO"/>
    <s v="2026-02-07T00:00:00"/>
  </r>
  <r>
    <x v="2"/>
    <s v="MO1100080205"/>
    <s v="Fiber Internet"/>
    <s v="MO"/>
    <s v="2026-02-07T00:00:00"/>
  </r>
  <r>
    <x v="2"/>
    <s v="MO1100080206"/>
    <s v="Instant Internet"/>
    <s v="MO"/>
    <s v="2026-02-07T00:00:00"/>
  </r>
  <r>
    <x v="2"/>
    <s v="MO1100080210"/>
    <s v="Fiber Internet"/>
    <s v="MO"/>
    <s v="2026-02-07T00:00:00"/>
  </r>
  <r>
    <x v="2"/>
    <s v="MO1100080215"/>
    <s v="Instant Internet"/>
    <s v="MO"/>
    <s v="2026-02-07T00:00:00"/>
  </r>
  <r>
    <x v="2"/>
    <s v="MO1100080222"/>
    <s v="Instant Internet"/>
    <s v="MO"/>
    <s v="2026-02-07T00:00:00"/>
  </r>
  <r>
    <x v="2"/>
    <s v="MO1100080224"/>
    <s v="Instant Internet"/>
    <s v="MO"/>
    <s v="2026-02-07T00:00:00"/>
  </r>
  <r>
    <x v="2"/>
    <s v="MO1100080226"/>
    <s v="Instant Internet"/>
    <s v="MO"/>
    <s v="2026-02-07T00:00:00"/>
  </r>
  <r>
    <x v="2"/>
    <s v="MO1100080237"/>
    <s v="Fiber Internet"/>
    <s v="MO"/>
    <s v="2026-02-08T00:00:00"/>
  </r>
  <r>
    <x v="2"/>
    <s v="MO1100080246"/>
    <s v="Fiber Internet"/>
    <s v="MO"/>
    <s v="2026-02-08T00:00:00"/>
  </r>
  <r>
    <x v="2"/>
    <s v="MO1100080267"/>
    <s v="Fiber Internet"/>
    <s v="MO"/>
    <s v="2026-02-09T00:00:00"/>
  </r>
  <r>
    <x v="2"/>
    <s v="MO1100080271"/>
    <s v="Fiber Internet"/>
    <s v="MO"/>
    <s v="2026-02-09T00:00:00"/>
  </r>
  <r>
    <x v="2"/>
    <s v="MO1100080273"/>
    <s v="DSL"/>
    <s v="MO"/>
    <s v="2026-02-09T00:00:00"/>
  </r>
  <r>
    <x v="2"/>
    <s v="MO1100080281"/>
    <s v="Fiber Internet"/>
    <s v="MO"/>
    <s v="2026-02-09T00:00:00"/>
  </r>
  <r>
    <x v="2"/>
    <s v="MO1100080286"/>
    <s v="Fiber Internet"/>
    <s v="MO"/>
    <s v="2026-02-09T00:00:00"/>
  </r>
  <r>
    <x v="2"/>
    <s v="MO1100080296"/>
    <s v="Fiber Internet"/>
    <s v="MO"/>
    <s v="2026-02-09T00:00:00"/>
  </r>
  <r>
    <x v="2"/>
    <s v="MO1100080326"/>
    <s v="Fiber Internet"/>
    <s v="MO"/>
    <s v="2026-02-09T00:00:00"/>
  </r>
  <r>
    <x v="2"/>
    <s v="MO1100080331"/>
    <s v="Instant Internet"/>
    <s v="MO"/>
    <s v="2026-02-09T00:00:00"/>
  </r>
  <r>
    <x v="2"/>
    <s v="MO1100080447"/>
    <s v="Fiber Internet"/>
    <s v="MO"/>
    <s v="2026-02-10T00:00:00"/>
  </r>
  <r>
    <x v="2"/>
    <s v="MO1100080538"/>
    <s v="Fiber Internet"/>
    <s v="MO"/>
    <s v="2026-02-10T00:00:00"/>
  </r>
  <r>
    <x v="2"/>
    <s v="MO1100080553"/>
    <s v="Instant Internet"/>
    <s v="MO"/>
    <s v="2026-02-10T00:00:00"/>
  </r>
  <r>
    <x v="2"/>
    <s v="MO1100080555"/>
    <s v="Instant Internet"/>
    <s v="MO"/>
    <s v="2026-02-11T00:00:00"/>
  </r>
  <r>
    <x v="2"/>
    <s v="MO1100080583"/>
    <s v="Instant Internet"/>
    <s v="MO"/>
    <s v="2026-02-11T00:00:00"/>
  </r>
  <r>
    <x v="2"/>
    <s v="MO1100080624"/>
    <s v="Instant Internet"/>
    <s v="MO"/>
    <s v="2026-02-11T00:00:00"/>
  </r>
  <r>
    <x v="2"/>
    <s v="MO1100080654"/>
    <s v="Fiber Internet"/>
    <s v="MO"/>
    <s v="2026-02-11T00:00:00"/>
  </r>
  <r>
    <x v="2"/>
    <s v="MO1100080662"/>
    <s v="Fiber Internet"/>
    <s v="MO"/>
    <s v="2026-02-11T00:00:00"/>
  </r>
  <r>
    <x v="2"/>
    <s v="MO1100080692"/>
    <s v="Fiber Internet"/>
    <s v="MO"/>
    <s v="2026-02-11T00:00:00"/>
  </r>
  <r>
    <x v="2"/>
    <s v="MO1100080702"/>
    <s v="Fiber Internet"/>
    <s v="MO"/>
    <s v="2026-02-11T00:00:00"/>
  </r>
  <r>
    <x v="2"/>
    <s v="MO1100080727"/>
    <s v="Fiber Internet"/>
    <s v="MO"/>
    <s v="2026-02-12T00:00:00"/>
  </r>
  <r>
    <x v="2"/>
    <s v="MO1100080741"/>
    <s v="fQF Internet"/>
    <s v="MO"/>
    <s v="2026-02-12T00:00:00"/>
  </r>
  <r>
    <x v="2"/>
    <s v="MO1100080742"/>
    <s v="Fiber Internet"/>
    <s v="MO"/>
    <s v="2026-02-12T00:00:00"/>
  </r>
  <r>
    <x v="2"/>
    <s v="MO1100080771"/>
    <s v="Instant Internet"/>
    <s v="MO"/>
    <s v="2026-02-12T00:00:00"/>
  </r>
  <r>
    <x v="2"/>
    <s v="MO1100080789"/>
    <s v="Fiber Internet"/>
    <s v="MO"/>
    <s v="2026-02-12T00:00:00"/>
  </r>
  <r>
    <x v="2"/>
    <s v="MO1100080821"/>
    <s v="Fiber Internet"/>
    <s v="MO"/>
    <s v="2026-02-12T00:00:00"/>
  </r>
  <r>
    <x v="2"/>
    <s v="MO1100080851"/>
    <s v="Fiber Internet"/>
    <s v="MO"/>
    <s v="2026-02-12T00:00:00"/>
  </r>
  <r>
    <x v="2"/>
    <s v="MO1100080852"/>
    <s v="DSL"/>
    <s v="MO"/>
    <s v="2026-02-12T00:00:00"/>
  </r>
  <r>
    <x v="2"/>
    <s v="MO1100080873"/>
    <s v="fQF Internet"/>
    <s v="MO"/>
    <s v="2026-02-12T00:00:00"/>
  </r>
  <r>
    <x v="2"/>
    <s v="MO1100080921"/>
    <s v="fQF Internet"/>
    <s v="MO"/>
    <s v="2026-02-13T00:00:00"/>
  </r>
  <r>
    <x v="2"/>
    <s v="MO1100080937"/>
    <s v="Fiber Internet"/>
    <s v="MO"/>
    <s v="2026-02-13T00:00:00"/>
  </r>
  <r>
    <x v="2"/>
    <s v="MO1100080975"/>
    <s v="Fiber Internet"/>
    <s v="MO"/>
    <s v="2026-02-13T00:00:00"/>
  </r>
  <r>
    <x v="2"/>
    <s v="MO1100080977"/>
    <s v="Instant Internet"/>
    <s v="MO"/>
    <s v="2026-02-13T00:00:00"/>
  </r>
  <r>
    <x v="2"/>
    <s v="MO1100080979"/>
    <s v="Fiber Internet"/>
    <s v="MO"/>
    <s v="2026-02-13T00:00:00"/>
  </r>
  <r>
    <x v="2"/>
    <s v="MO1100080993"/>
    <s v="Fiber Internet"/>
    <s v="MO"/>
    <s v="2026-02-13T00:00:00"/>
  </r>
  <r>
    <x v="2"/>
    <s v="MO1100081022"/>
    <s v="Fiber Internet"/>
    <s v="MO"/>
    <s v="2026-02-13T00:00:00"/>
  </r>
  <r>
    <x v="2"/>
    <s v="MO1100081041"/>
    <s v="Fiber Internet"/>
    <s v="MO"/>
    <s v="2026-02-14T00:00:00"/>
  </r>
  <r>
    <x v="2"/>
    <s v="MO1100081043"/>
    <s v="Instant Internet"/>
    <s v="MO"/>
    <s v="2026-02-14T00:00:00"/>
  </r>
  <r>
    <x v="2"/>
    <s v="MO1100081070"/>
    <s v="Fiber Internet"/>
    <s v="MO"/>
    <s v="2026-02-14T00:00:00"/>
  </r>
  <r>
    <x v="2"/>
    <s v="MO1100081072"/>
    <s v="Fiber Internet"/>
    <s v="MO"/>
    <s v="2026-02-14T00:00:00"/>
  </r>
  <r>
    <x v="2"/>
    <s v="MO1100081098"/>
    <s v="Fiber Internet"/>
    <s v="MO"/>
    <s v="2026-02-14T00:00:00"/>
  </r>
  <r>
    <x v="2"/>
    <s v="MO1100081121"/>
    <s v="Fiber Internet"/>
    <s v="MO"/>
    <s v="2026-02-15T00:00:00"/>
  </r>
  <r>
    <x v="2"/>
    <s v="MO1100081137"/>
    <s v="Fiber Internet"/>
    <s v="MO"/>
    <s v="2026-02-15T00:00:00"/>
  </r>
  <r>
    <x v="2"/>
    <s v="MO1100081188"/>
    <s v="Fiber Internet"/>
    <s v="MO"/>
    <s v="2026-02-16T00:00:00"/>
  </r>
  <r>
    <x v="2"/>
    <s v="MO1100081198"/>
    <s v="Fiber Internet"/>
    <s v="MO"/>
    <s v="2026-02-16T00:00:00"/>
  </r>
  <r>
    <x v="2"/>
    <s v="MO1100081199"/>
    <s v="Fiber Internet"/>
    <s v="MO"/>
    <s v="2026-02-16T00:00:00"/>
  </r>
  <r>
    <x v="2"/>
    <s v="MO1100081215"/>
    <s v="Fiber Internet"/>
    <s v="MO"/>
    <s v="2026-02-16T00:00:00"/>
  </r>
  <r>
    <x v="2"/>
    <s v="MO1100081220"/>
    <s v="Fiber Internet"/>
    <s v="MO"/>
    <s v="2026-02-16T00:00:00"/>
  </r>
  <r>
    <x v="2"/>
    <s v="MO1100081261"/>
    <s v="Instant Internet"/>
    <s v="MO"/>
    <s v="2026-02-16T00:00:00"/>
  </r>
  <r>
    <x v="2"/>
    <s v="MO1100081267"/>
    <s v="Fiber Internet"/>
    <s v="MO"/>
    <s v="2026-02-16T00:00:00"/>
  </r>
  <r>
    <x v="2"/>
    <s v="MO1100081303"/>
    <s v="Instant Internet"/>
    <s v="MO"/>
    <s v="2026-02-16T00:00:00"/>
  </r>
  <r>
    <x v="2"/>
    <s v="MO1100081311"/>
    <s v="Fiber Internet"/>
    <s v="MO"/>
    <s v="2026-02-16T00:00:00"/>
  </r>
  <r>
    <x v="2"/>
    <s v="MO1100081349"/>
    <s v="Fiber Internet"/>
    <s v="MO"/>
    <s v="2026-02-17T00:00:00"/>
  </r>
  <r>
    <x v="2"/>
    <s v="PA1100033438"/>
    <s v="Instant Internet"/>
    <s v="PA"/>
    <s v="2026-02-02T00:00:00"/>
  </r>
  <r>
    <x v="2"/>
    <s v="PA1100033464"/>
    <s v="Instant Internet"/>
    <s v="PA"/>
    <s v="2026-02-02T00:00:00"/>
  </r>
  <r>
    <x v="2"/>
    <s v="PA1100033469"/>
    <s v="Instant Internet"/>
    <s v="PA"/>
    <s v="2026-02-02T00:00:00"/>
  </r>
  <r>
    <x v="2"/>
    <s v="PA1100033661"/>
    <s v="Instant Internet"/>
    <s v="PA"/>
    <s v="2026-02-05T00:00:00"/>
  </r>
  <r>
    <x v="2"/>
    <s v="PA1100033748"/>
    <s v="Instant Internet"/>
    <s v="PA"/>
    <s v="2026-02-06T00:00:00"/>
  </r>
  <r>
    <x v="2"/>
    <s v="PA1100033871"/>
    <s v="Fiber Internet"/>
    <s v="PA"/>
    <s v="2026-02-10T00:00:00"/>
  </r>
  <r>
    <x v="2"/>
    <s v="PA1100033874"/>
    <s v="Fiber Internet+Value Added Services"/>
    <s v="PA"/>
    <s v="2026-02-10T00:00:00"/>
  </r>
  <r>
    <x v="2"/>
    <s v="PA1100033876"/>
    <s v="Fiber Internet"/>
    <s v="PA"/>
    <s v="2026-02-10T00:00:00"/>
  </r>
  <r>
    <x v="2"/>
    <s v="PA1100033950"/>
    <s v="Fiber Internet"/>
    <s v="PA"/>
    <s v="2026-02-11T00:00:00"/>
  </r>
  <r>
    <x v="2"/>
    <s v="PA1100033989"/>
    <s v="Fiber Internet"/>
    <s v="PA"/>
    <s v="2026-02-11T00:00:00"/>
  </r>
  <r>
    <x v="2"/>
    <s v="PA1100034012"/>
    <s v="Instant Internet"/>
    <s v="PA"/>
    <s v="2026-02-12T00:00:00"/>
  </r>
  <r>
    <x v="2"/>
    <s v="PA1100034014"/>
    <s v="Fiber Internet+Value Added Services"/>
    <s v="PA"/>
    <s v="2026-02-12T00:00:00"/>
  </r>
  <r>
    <x v="2"/>
    <s v="PA1100034020"/>
    <s v="Instant Internet"/>
    <s v="PA"/>
    <s v="2026-02-12T00:00:00"/>
  </r>
  <r>
    <x v="2"/>
    <s v="PA1100034098"/>
    <s v="Instant Internet"/>
    <s v="PA"/>
    <s v="2026-02-13T00:00:00"/>
  </r>
  <r>
    <x v="2"/>
    <s v="PA1100034180"/>
    <s v="Instant Internet"/>
    <s v="PA"/>
    <s v="2026-02-14T00:00:00"/>
  </r>
  <r>
    <x v="2"/>
    <s v="PA1100034196"/>
    <s v="Instant Internet"/>
    <s v="PA"/>
    <s v="2026-02-15T00:00:00"/>
  </r>
  <r>
    <x v="2"/>
    <s v="PA1100034270"/>
    <s v="Fiber Internet"/>
    <s v="PA"/>
    <s v="2026-02-16T00:00:00"/>
  </r>
  <r>
    <x v="2"/>
    <s v="PA1100034291"/>
    <s v="Instant Internet"/>
    <s v="PA"/>
    <s v="2026-02-17T00:00:00"/>
  </r>
  <r>
    <x v="3"/>
    <s v="AL1100047260"/>
    <s v="Fiber Internet+Value Added Services"/>
    <s v="AL"/>
    <s v="2026-02-02T00:00:00"/>
  </r>
  <r>
    <x v="3"/>
    <s v="AL1100047334"/>
    <s v="fQF Internet"/>
    <s v="AL"/>
    <s v="2026-02-03T00:00:00"/>
  </r>
  <r>
    <x v="3"/>
    <s v="AL1100047376"/>
    <s v="Fiber Internet"/>
    <s v="AL"/>
    <s v="2026-02-04T00:00:00"/>
  </r>
  <r>
    <x v="3"/>
    <s v="AL1100047590"/>
    <s v="Fiber Internet"/>
    <s v="AL"/>
    <s v="2026-02-06T00:00:00"/>
  </r>
  <r>
    <x v="3"/>
    <s v="AL1100047639"/>
    <s v="Fiber Internet"/>
    <s v="AL"/>
    <s v="2026-02-06T00:00:00"/>
  </r>
  <r>
    <x v="3"/>
    <s v="AL1100047646"/>
    <s v="Fiber Internet"/>
    <s v="AL"/>
    <s v="2026-02-06T00:00:00"/>
  </r>
  <r>
    <x v="3"/>
    <s v="AL1100047748"/>
    <s v="Fiber Internet"/>
    <s v="AL"/>
    <s v="2026-02-09T00:00:00"/>
  </r>
  <r>
    <x v="3"/>
    <s v="AL1100047762"/>
    <s v="Fiber Internet"/>
    <s v="AL"/>
    <s v="2026-02-09T00:00:00"/>
  </r>
  <r>
    <x v="3"/>
    <s v="AL1100047775"/>
    <s v="Fiber Internet"/>
    <s v="AL"/>
    <s v="2026-02-09T00:00:00"/>
  </r>
  <r>
    <x v="3"/>
    <s v="AL1100047792"/>
    <s v="Fiber Internet"/>
    <s v="AL"/>
    <s v="2026-02-09T00:00:00"/>
  </r>
  <r>
    <x v="3"/>
    <s v="AL1100047864"/>
    <s v="Fiber Internet"/>
    <s v="AL"/>
    <s v="2026-02-10T00:00:00"/>
  </r>
  <r>
    <x v="3"/>
    <s v="AL1100047866"/>
    <s v="Fiber Internet+Value Added Services"/>
    <s v="AL"/>
    <s v="2026-02-10T00:00:00"/>
  </r>
  <r>
    <x v="3"/>
    <s v="AL1100047899"/>
    <s v="Fiber Internet"/>
    <s v="AL"/>
    <s v="2026-02-10T00:00:00"/>
  </r>
  <r>
    <x v="3"/>
    <s v="AL1100047961"/>
    <s v="Fiber Internet"/>
    <s v="AL"/>
    <s v="2026-02-11T00:00:00"/>
  </r>
  <r>
    <x v="3"/>
    <s v="AL1100048094"/>
    <s v="Fiber Internet+Value Added Services"/>
    <s v="AL"/>
    <s v="2026-02-12T00:00:00"/>
  </r>
  <r>
    <x v="3"/>
    <s v="AL1100048154"/>
    <s v="Fiber Internet+Value Added Services"/>
    <s v="AL"/>
    <s v="2026-02-12T00:00:00"/>
  </r>
  <r>
    <x v="3"/>
    <s v="AL1100048183"/>
    <s v="Fiber Internet"/>
    <s v="AL"/>
    <s v="2026-02-13T00:00:00"/>
  </r>
  <r>
    <x v="3"/>
    <s v="AL1100048187"/>
    <s v="fQF Internet"/>
    <s v="AL"/>
    <s v="2026-02-13T00:00:00"/>
  </r>
  <r>
    <x v="3"/>
    <s v="AL1100048356"/>
    <s v="fQF Internet"/>
    <s v="AL"/>
    <s v="2026-02-15T00:00:00"/>
  </r>
  <r>
    <x v="3"/>
    <s v="AL1100048359"/>
    <s v="fQF Internet"/>
    <s v="AL"/>
    <s v="2026-02-15T00:00:00"/>
  </r>
  <r>
    <x v="3"/>
    <s v="AL1100048363"/>
    <s v="fQF Internet"/>
    <s v="AL"/>
    <s v="2026-02-15T00:00:00"/>
  </r>
  <r>
    <x v="3"/>
    <s v="AL1100048368"/>
    <s v="fQF Internet"/>
    <s v="AL"/>
    <s v="2026-02-15T00:00:00"/>
  </r>
  <r>
    <x v="3"/>
    <s v="AL1100048370"/>
    <s v="fQF Internet"/>
    <s v="AL"/>
    <s v="2026-02-15T00:00:00"/>
  </r>
  <r>
    <x v="3"/>
    <s v="AL1100048372"/>
    <s v="DSL"/>
    <s v="AL"/>
    <s v="2026-02-15T00:00:00"/>
  </r>
  <r>
    <x v="3"/>
    <s v="AL1100048381"/>
    <s v="fQF Internet"/>
    <s v="AL"/>
    <s v="2026-02-15T00:00:00"/>
  </r>
  <r>
    <x v="3"/>
    <s v="AL1100048391"/>
    <s v="fQF Internet"/>
    <s v="AL"/>
    <s v="2026-02-15T00:00:00"/>
  </r>
  <r>
    <x v="3"/>
    <s v="AL1100048413"/>
    <s v="Fiber Internet"/>
    <s v="AL"/>
    <s v="2026-02-16T00:00:00"/>
  </r>
  <r>
    <x v="3"/>
    <s v="AL1100048465"/>
    <s v="Fiber Internet"/>
    <s v="AL"/>
    <s v="2026-02-16T00:00:00"/>
  </r>
  <r>
    <x v="3"/>
    <s v="GA1100003273"/>
    <s v="Fiber Internet"/>
    <s v="GA"/>
    <s v="2026-02-04T00:00:00"/>
  </r>
  <r>
    <x v="3"/>
    <s v="GA1100003324"/>
    <s v="Fiber Internet"/>
    <s v="GA"/>
    <s v="2026-02-06T00:00:00"/>
  </r>
  <r>
    <x v="3"/>
    <s v="GA1100003326"/>
    <s v="Fiber Internet"/>
    <s v="GA"/>
    <s v="2026-02-06T00:00:00"/>
  </r>
  <r>
    <x v="3"/>
    <s v="GA1100003328"/>
    <s v="Fiber Internet"/>
    <s v="GA"/>
    <s v="2026-02-06T00:00:00"/>
  </r>
  <r>
    <x v="3"/>
    <s v="GA1100003330"/>
    <s v="Fiber Internet"/>
    <s v="GA"/>
    <s v="2026-02-06T00:00:00"/>
  </r>
  <r>
    <x v="3"/>
    <s v="GA1100003332"/>
    <s v="Fiber Internet"/>
    <s v="GA"/>
    <s v="2026-02-06T00:00:00"/>
  </r>
  <r>
    <x v="3"/>
    <s v="GA1100003333"/>
    <s v="Fiber Internet"/>
    <s v="GA"/>
    <s v="2026-02-06T00:00:00"/>
  </r>
  <r>
    <x v="3"/>
    <s v="GA1100003356"/>
    <s v="Fiber Internet"/>
    <s v="GA"/>
    <s v="2026-02-09T00:00:00"/>
  </r>
  <r>
    <x v="3"/>
    <s v="GA1100003388"/>
    <s v="Fiber Internet"/>
    <s v="GA"/>
    <s v="2026-02-13T00:00:00"/>
  </r>
  <r>
    <x v="3"/>
    <s v="GA1100003417"/>
    <s v="Fiber Internet"/>
    <s v="GA"/>
    <s v="2026-02-17T00:00:00"/>
  </r>
  <r>
    <x v="3"/>
    <s v="IN1100024811"/>
    <s v="BrightSpeed Internet"/>
    <s v="IN"/>
    <s v="2026-02-05T00:00:00"/>
  </r>
  <r>
    <x v="3"/>
    <s v="IN1100024838"/>
    <s v="Fiber Internet"/>
    <s v="IN"/>
    <s v="2026-02-06T00:00:00"/>
  </r>
  <r>
    <x v="3"/>
    <s v="IN1100025035"/>
    <s v="Fiber Internet"/>
    <s v="IN"/>
    <s v="2026-02-13T00:00:00"/>
  </r>
  <r>
    <x v="3"/>
    <s v="IN1100025129"/>
    <s v="fQF Internet"/>
    <s v="IN"/>
    <s v="2026-02-17T00:00:00"/>
  </r>
  <r>
    <x v="3"/>
    <s v="KS1100009564"/>
    <s v="Fiber Internet"/>
    <s v="KS"/>
    <s v="2026-02-01T00:00:00"/>
  </r>
  <r>
    <x v="3"/>
    <s v="KS1100009636"/>
    <s v="Instant Internet"/>
    <s v="KS"/>
    <s v="2026-02-04T00:00:00"/>
  </r>
  <r>
    <x v="3"/>
    <s v="KS1100009652"/>
    <s v="Fiber Internet"/>
    <s v="KS"/>
    <s v="2026-02-05T00:00:00"/>
  </r>
  <r>
    <x v="3"/>
    <s v="KS1100009674"/>
    <s v="Fiber Internet"/>
    <s v="KS"/>
    <s v="2026-02-06T00:00:00"/>
  </r>
  <r>
    <x v="3"/>
    <s v="KS1100009676"/>
    <s v="Fiber Internet"/>
    <s v="KS"/>
    <s v="2026-02-06T00:00:00"/>
  </r>
  <r>
    <x v="3"/>
    <s v="KS1100009702"/>
    <s v="Instant Internet"/>
    <s v="KS"/>
    <s v="2026-02-07T00:00:00"/>
  </r>
  <r>
    <x v="3"/>
    <s v="KS1100009745"/>
    <s v="Fiber Internet"/>
    <s v="KS"/>
    <s v="2026-02-10T00:00:00"/>
  </r>
  <r>
    <x v="3"/>
    <s v="KS1100009792"/>
    <s v="Fiber Internet"/>
    <s v="KS"/>
    <s v="2026-02-13T00:00:00"/>
  </r>
  <r>
    <x v="3"/>
    <s v="KS6100000519"/>
    <s v="Fiber Internet"/>
    <s v="KS"/>
    <s v="2026-02-02T00:00:00"/>
  </r>
  <r>
    <x v="3"/>
    <s v="LA1100017863"/>
    <s v="fQF Internet"/>
    <s v="LA"/>
    <s v="2026-02-02T00:00:00"/>
  </r>
  <r>
    <x v="3"/>
    <s v="LA1100017872"/>
    <s v="fQF Internet"/>
    <s v="LA"/>
    <s v="2026-02-03T00:00:00"/>
  </r>
  <r>
    <x v="3"/>
    <s v="LA1100018147"/>
    <s v="Fiber Internet"/>
    <s v="LA"/>
    <s v="2026-02-12T00:00:00"/>
  </r>
  <r>
    <x v="3"/>
    <s v="LA2100001684"/>
    <s v="Fiber Internet+Fiber Voice"/>
    <s v="LA"/>
    <s v="2026-02-06T00:00:00"/>
  </r>
  <r>
    <x v="3"/>
    <s v="MO1100079717"/>
    <s v="Fiber Internet"/>
    <s v="MO"/>
    <s v="2026-02-02T00:00:00"/>
  </r>
  <r>
    <x v="3"/>
    <s v="MO1100079845"/>
    <s v="Fiber Internet"/>
    <s v="MO"/>
    <s v="2026-02-03T00:00:00"/>
  </r>
  <r>
    <x v="3"/>
    <s v="MO1100079876"/>
    <s v="Fiber Internet"/>
    <s v="MO"/>
    <s v="2026-02-04T00:00:00"/>
  </r>
  <r>
    <x v="3"/>
    <s v="MO1100079925"/>
    <s v="Fiber Internet"/>
    <s v="MO"/>
    <s v="2026-02-04T00:00:00"/>
  </r>
  <r>
    <x v="3"/>
    <s v="MO1100079937"/>
    <s v="Fiber Internet"/>
    <s v="MO"/>
    <s v="2026-02-04T00:00:00"/>
  </r>
  <r>
    <x v="3"/>
    <s v="MO1100079938"/>
    <s v="Fiber Internet"/>
    <s v="MO"/>
    <s v="2026-02-04T00:00:00"/>
  </r>
  <r>
    <x v="3"/>
    <s v="MO1100080001"/>
    <s v="Fiber Internet"/>
    <s v="MO"/>
    <s v="2026-02-05T00:00:00"/>
  </r>
  <r>
    <x v="3"/>
    <s v="MO1100080661"/>
    <s v="fQF Internet"/>
    <s v="MO"/>
    <s v="2026-02-11T00:00:00"/>
  </r>
  <r>
    <x v="3"/>
    <s v="MO1100080838"/>
    <s v="Fiber Internet"/>
    <s v="MO"/>
    <s v="2026-02-12T00:00:00"/>
  </r>
  <r>
    <x v="3"/>
    <s v="MO1100080917"/>
    <s v="Instant Internet"/>
    <s v="MO"/>
    <s v="2026-02-13T00:00:00"/>
  </r>
  <r>
    <x v="3"/>
    <s v="MO1100081274"/>
    <s v="Fiber Internet"/>
    <s v="MO"/>
    <s v="2026-02-16T00:00:00"/>
  </r>
  <r>
    <x v="3"/>
    <s v="MS1100000609"/>
    <s v="Fiber Internet"/>
    <s v="MS"/>
    <s v="2026-02-10T00:00:00"/>
  </r>
  <r>
    <x v="3"/>
    <s v="NC1100167586"/>
    <s v="fQF Internet"/>
    <s v="NC"/>
    <s v="2026-02-01T00:00:00"/>
  </r>
  <r>
    <x v="3"/>
    <s v="NC1100167599"/>
    <s v="Fiber Internet"/>
    <s v="NC"/>
    <s v="2026-02-02T00:00:00"/>
  </r>
  <r>
    <x v="3"/>
    <s v="NC1100167601"/>
    <s v="Instant Internet"/>
    <s v="NC"/>
    <s v="2026-02-02T00:00:00"/>
  </r>
  <r>
    <x v="3"/>
    <s v="NC1100167655"/>
    <s v="fQF Internet"/>
    <s v="NC"/>
    <s v="2026-02-02T00:00:00"/>
  </r>
  <r>
    <x v="3"/>
    <s v="NC1100167666"/>
    <s v="Fiber Internet+Value Added Services"/>
    <s v="NC"/>
    <s v="2026-02-02T00:00:00"/>
  </r>
  <r>
    <x v="3"/>
    <s v="NC1100167700"/>
    <s v="fQF Internet"/>
    <s v="NC"/>
    <s v="2026-02-02T00:00:00"/>
  </r>
  <r>
    <x v="3"/>
    <s v="NC1100167713"/>
    <s v="Fiber Internet"/>
    <s v="NC"/>
    <s v="2026-02-02T00:00:00"/>
  </r>
  <r>
    <x v="3"/>
    <s v="NC1100167715"/>
    <s v="Fiber Internet"/>
    <s v="NC"/>
    <s v="2026-02-02T00:00:00"/>
  </r>
  <r>
    <x v="3"/>
    <s v="NC1100167750"/>
    <s v="BrightSpeed Internet"/>
    <s v="NC"/>
    <s v="2026-02-02T00:00:00"/>
  </r>
  <r>
    <x v="3"/>
    <s v="NC1100167763"/>
    <s v="Instant Internet"/>
    <s v="NC"/>
    <s v="2026-02-02T00:00:00"/>
  </r>
  <r>
    <x v="3"/>
    <s v="NC1100167886"/>
    <s v="Fiber Internet"/>
    <s v="NC"/>
    <s v="2026-02-03T00:00:00"/>
  </r>
  <r>
    <x v="3"/>
    <s v="NC1100167937"/>
    <s v="Fiber Internet"/>
    <s v="NC"/>
    <s v="2026-02-03T00:00:00"/>
  </r>
  <r>
    <x v="3"/>
    <s v="NC1100167940"/>
    <s v="fQF Internet"/>
    <s v="NC"/>
    <s v="2026-02-03T00:00:00"/>
  </r>
  <r>
    <x v="3"/>
    <s v="NC1100168024"/>
    <s v="Instant Internet"/>
    <s v="NC"/>
    <s v="2026-02-03T00:00:00"/>
  </r>
  <r>
    <x v="3"/>
    <s v="NC1100168026"/>
    <s v="Fiber Internet+Value Added Services"/>
    <s v="NC"/>
    <s v="2026-02-03T00:00:00"/>
  </r>
  <r>
    <x v="3"/>
    <s v="NC1100168059"/>
    <s v="Instant Internet"/>
    <s v="NC"/>
    <s v="2026-02-03T00:00:00"/>
  </r>
  <r>
    <x v="3"/>
    <s v="NC1100168070"/>
    <s v="Fiber Internet"/>
    <s v="NC"/>
    <s v="2026-02-03T00:00:00"/>
  </r>
  <r>
    <x v="3"/>
    <s v="NC1100168080"/>
    <s v="Fiber Internet"/>
    <s v="NC"/>
    <s v="2026-02-03T00:00:00"/>
  </r>
  <r>
    <x v="3"/>
    <s v="NC1100168095"/>
    <s v="Fiber Internet"/>
    <s v="NC"/>
    <s v="2026-02-03T00:00:00"/>
  </r>
  <r>
    <x v="3"/>
    <s v="NC1100168209"/>
    <s v="fQF Internet"/>
    <s v="NC"/>
    <s v="2026-02-04T00:00:00"/>
  </r>
  <r>
    <x v="3"/>
    <s v="NC1100168211"/>
    <s v="Instant Internet"/>
    <s v="NC"/>
    <s v="2026-02-04T00:00:00"/>
  </r>
  <r>
    <x v="3"/>
    <s v="NC1100168303"/>
    <s v="Instant Internet"/>
    <s v="NC"/>
    <s v="2026-02-04T00:00:00"/>
  </r>
  <r>
    <x v="3"/>
    <s v="NC1100168424"/>
    <s v="Fiber Internet"/>
    <s v="NC"/>
    <s v="2026-02-04T00:00:00"/>
  </r>
  <r>
    <x v="3"/>
    <s v="NC1100168450"/>
    <s v="Fiber Internet+Value Added Services"/>
    <s v="NC"/>
    <s v="2026-02-04T00:00:00"/>
  </r>
  <r>
    <x v="3"/>
    <s v="NC1100168501"/>
    <s v="Instant Internet"/>
    <s v="NC"/>
    <s v="2026-02-04T00:00:00"/>
  </r>
  <r>
    <x v="3"/>
    <s v="NC1100168661"/>
    <s v="Fiber Internet"/>
    <s v="NC"/>
    <s v="2026-02-05T00:00:00"/>
  </r>
  <r>
    <x v="3"/>
    <s v="NC1100168673"/>
    <s v="Fiber Internet"/>
    <s v="NC"/>
    <s v="2026-02-05T00:00:00"/>
  </r>
  <r>
    <x v="3"/>
    <s v="NC1100168716"/>
    <s v="Fiber Internet+Value Added Services"/>
    <s v="NC"/>
    <s v="2026-02-05T00:00:00"/>
  </r>
  <r>
    <x v="3"/>
    <s v="NC1100168723"/>
    <s v="fQF Internet"/>
    <s v="NC"/>
    <s v="2026-02-05T00:00:00"/>
  </r>
  <r>
    <x v="3"/>
    <s v="NC1100168783"/>
    <s v="Fiber Internet"/>
    <s v="NC"/>
    <s v="2026-02-05T00:00:00"/>
  </r>
  <r>
    <x v="3"/>
    <s v="NC1100168785"/>
    <s v="fQF Internet"/>
    <s v="NC"/>
    <s v="2026-02-05T00:00:00"/>
  </r>
  <r>
    <x v="3"/>
    <s v="NC1100168802"/>
    <s v="fQF Internet"/>
    <s v="NC"/>
    <s v="2026-02-05T00:00:00"/>
  </r>
  <r>
    <x v="3"/>
    <s v="NC1100168824"/>
    <s v="fQF Internet"/>
    <s v="NC"/>
    <s v="2026-02-05T00:00:00"/>
  </r>
  <r>
    <x v="3"/>
    <s v="NC1100168856"/>
    <s v="Instant Internet"/>
    <s v="NC"/>
    <s v="2026-02-06T00:00:00"/>
  </r>
  <r>
    <x v="3"/>
    <s v="NC1100169031"/>
    <s v="fQF Internet"/>
    <s v="NC"/>
    <s v="2026-02-06T00:00:00"/>
  </r>
  <r>
    <x v="3"/>
    <s v="NC1100169058"/>
    <s v="Fiber Internet"/>
    <s v="NC"/>
    <s v="2026-02-06T00:00:00"/>
  </r>
  <r>
    <x v="3"/>
    <s v="NC1100169072"/>
    <s v="fQF Internet"/>
    <s v="NC"/>
    <s v="2026-02-06T00:00:00"/>
  </r>
  <r>
    <x v="3"/>
    <s v="NC1100169164"/>
    <s v="Instant Internet"/>
    <s v="NC"/>
    <s v="2026-02-07T00:00:00"/>
  </r>
  <r>
    <x v="3"/>
    <s v="NC1100169169"/>
    <s v="Instant Internet"/>
    <s v="NC"/>
    <s v="2026-02-07T00:00:00"/>
  </r>
  <r>
    <x v="3"/>
    <s v="NC1100169430"/>
    <s v="Instant Internet"/>
    <s v="NC"/>
    <s v="2026-02-07T00:00:00"/>
  </r>
  <r>
    <x v="3"/>
    <s v="NC1100169434"/>
    <s v="Instant Internet"/>
    <s v="NC"/>
    <s v="2026-02-08T00:00:00"/>
  </r>
  <r>
    <x v="3"/>
    <s v="NC1100169435"/>
    <s v="Fiber Internet"/>
    <s v="NC"/>
    <s v="2026-02-08T00:00:00"/>
  </r>
  <r>
    <x v="3"/>
    <s v="NC1100169470"/>
    <s v="Fiber Internet"/>
    <s v="NC"/>
    <s v="2026-02-08T00:00:00"/>
  </r>
  <r>
    <x v="3"/>
    <s v="NC1100169474"/>
    <s v="Fiber Internet"/>
    <s v="NC"/>
    <s v="2026-02-08T00:00:00"/>
  </r>
  <r>
    <x v="3"/>
    <s v="NC1100169611"/>
    <s v="Fiber Internet"/>
    <s v="NC"/>
    <s v="2026-02-09T00:00:00"/>
  </r>
  <r>
    <x v="3"/>
    <s v="NC1100169619"/>
    <s v="Fiber Internet"/>
    <s v="NC"/>
    <s v="2026-02-09T00:00:00"/>
  </r>
  <r>
    <x v="3"/>
    <s v="NC1100169621"/>
    <s v="Fiber Internet"/>
    <s v="NC"/>
    <s v="2026-02-09T00:00:00"/>
  </r>
  <r>
    <x v="3"/>
    <s v="NC1100169640"/>
    <s v="Fiber Internet"/>
    <s v="NC"/>
    <s v="2026-02-09T00:00:00"/>
  </r>
  <r>
    <x v="3"/>
    <s v="NC1100169651"/>
    <s v="Fiber Internet"/>
    <s v="NC"/>
    <s v="2026-02-09T00:00:00"/>
  </r>
  <r>
    <x v="3"/>
    <s v="NC1100169664"/>
    <s v="Fiber Internet"/>
    <s v="NC"/>
    <s v="2026-02-09T00:00:00"/>
  </r>
  <r>
    <x v="3"/>
    <s v="NC1100169690"/>
    <s v="Fiber Internet"/>
    <s v="NC"/>
    <s v="2026-02-09T00:00:00"/>
  </r>
  <r>
    <x v="3"/>
    <s v="NC1100169726"/>
    <s v="Fiber Internet"/>
    <s v="NC"/>
    <s v="2026-02-09T00:00:00"/>
  </r>
  <r>
    <x v="3"/>
    <s v="NC1100169737"/>
    <s v="Fiber Internet"/>
    <s v="NC"/>
    <s v="2026-02-09T00:00:00"/>
  </r>
  <r>
    <x v="3"/>
    <s v="NC1100169748"/>
    <s v="Instant Internet"/>
    <s v="NC"/>
    <s v="2026-02-09T00:00:00"/>
  </r>
  <r>
    <x v="3"/>
    <s v="NC1100169761"/>
    <s v="Fiber Internet"/>
    <s v="NC"/>
    <s v="2026-02-09T00:00:00"/>
  </r>
  <r>
    <x v="3"/>
    <s v="NC1100169765"/>
    <s v="Fiber Internet"/>
    <s v="NC"/>
    <s v="2026-02-09T00:00:00"/>
  </r>
  <r>
    <x v="3"/>
    <s v="NC1100169801"/>
    <s v="Fiber Internet"/>
    <s v="NC"/>
    <s v="2026-02-09T00:00:00"/>
  </r>
  <r>
    <x v="3"/>
    <s v="NC1100169850"/>
    <s v="Fiber Internet"/>
    <s v="NC"/>
    <s v="2026-02-09T00:00:00"/>
  </r>
  <r>
    <x v="3"/>
    <s v="NC1100169861"/>
    <s v="Fiber Internet"/>
    <s v="NC"/>
    <s v="2026-02-09T00:00:00"/>
  </r>
  <r>
    <x v="3"/>
    <s v="NC1100169869"/>
    <s v="Fiber Internet"/>
    <s v="NC"/>
    <s v="2026-02-09T00:00:00"/>
  </r>
  <r>
    <x v="3"/>
    <s v="NC1100169944"/>
    <s v="fQF Internet"/>
    <s v="NC"/>
    <s v="2026-02-10T00:00:00"/>
  </r>
  <r>
    <x v="3"/>
    <s v="NC1100169985"/>
    <s v="Fiber Internet+Value Added Services"/>
    <s v="NC"/>
    <s v="2026-02-10T00:00:00"/>
  </r>
  <r>
    <x v="3"/>
    <s v="NC1100169995"/>
    <s v="Fiber Internet"/>
    <s v="NC"/>
    <s v="2026-02-10T00:00:00"/>
  </r>
  <r>
    <x v="3"/>
    <s v="NC1100170000"/>
    <s v="Fiber Internet"/>
    <s v="NC"/>
    <s v="2026-02-10T00:00:00"/>
  </r>
  <r>
    <x v="3"/>
    <s v="NC1100170124"/>
    <s v="Fiber Internet"/>
    <s v="NC"/>
    <s v="2026-02-10T00:00:00"/>
  </r>
  <r>
    <x v="3"/>
    <s v="NC1100170138"/>
    <s v="Fiber Internet"/>
    <s v="NC"/>
    <s v="2026-02-10T00:00:00"/>
  </r>
  <r>
    <x v="3"/>
    <s v="NC1100170193"/>
    <s v="Fiber Internet"/>
    <s v="NC"/>
    <s v="2026-02-10T00:00:00"/>
  </r>
  <r>
    <x v="3"/>
    <s v="NC1100170198"/>
    <s v="Instant Internet"/>
    <s v="NC"/>
    <s v="2026-02-10T00:00:00"/>
  </r>
  <r>
    <x v="3"/>
    <s v="NC1100170208"/>
    <s v="Fiber Internet"/>
    <s v="NC"/>
    <s v="2026-02-10T00:00:00"/>
  </r>
  <r>
    <x v="3"/>
    <s v="NC1100170213"/>
    <s v="Fiber Internet"/>
    <s v="NC"/>
    <s v="2026-02-10T00:00:00"/>
  </r>
  <r>
    <x v="3"/>
    <s v="NC1100170235"/>
    <s v="Fiber Internet"/>
    <s v="NC"/>
    <s v="2026-02-10T00:00:00"/>
  </r>
  <r>
    <x v="3"/>
    <s v="NC1100170300"/>
    <s v="Fiber Internet"/>
    <s v="NC"/>
    <s v="2026-02-11T00:00:00"/>
  </r>
  <r>
    <x v="3"/>
    <s v="NC1100170311"/>
    <s v="Fiber Internet"/>
    <s v="NC"/>
    <s v="2026-02-11T00:00:00"/>
  </r>
  <r>
    <x v="3"/>
    <s v="NC1100170333"/>
    <s v="fQF Internet"/>
    <s v="NC"/>
    <s v="2026-02-11T00:00:00"/>
  </r>
  <r>
    <x v="3"/>
    <s v="NC1100170344"/>
    <s v="Fiber Internet"/>
    <s v="NC"/>
    <s v="2026-02-11T00:00:00"/>
  </r>
  <r>
    <x v="3"/>
    <s v="NC1100170380"/>
    <s v="Fiber Internet"/>
    <s v="NC"/>
    <s v="2026-02-11T00:00:00"/>
  </r>
  <r>
    <x v="3"/>
    <s v="NC1100170457"/>
    <s v="Fiber Internet"/>
    <s v="NC"/>
    <s v="2026-02-11T00:00:00"/>
  </r>
  <r>
    <x v="3"/>
    <s v="NC1100170504"/>
    <s v="Fiber Internet"/>
    <s v="NC"/>
    <s v="2026-02-11T00:00:00"/>
  </r>
  <r>
    <x v="3"/>
    <s v="NC1100170551"/>
    <s v="Fiber Internet"/>
    <s v="NC"/>
    <s v="2026-02-11T00:00:00"/>
  </r>
  <r>
    <x v="3"/>
    <s v="NC1100170595"/>
    <s v="Fiber Internet"/>
    <s v="NC"/>
    <s v="2026-02-11T00:00:00"/>
  </r>
  <r>
    <x v="3"/>
    <s v="NC1100170620"/>
    <s v="Fiber Internet"/>
    <s v="NC"/>
    <s v="2026-02-11T00:00:00"/>
  </r>
  <r>
    <x v="3"/>
    <s v="NC1100170705"/>
    <s v="Fiber Internet"/>
    <s v="NC"/>
    <s v="2026-02-12T00:00:00"/>
  </r>
  <r>
    <x v="3"/>
    <s v="NC1100170707"/>
    <s v="Fiber Internet"/>
    <s v="NC"/>
    <s v="2026-02-12T00:00:00"/>
  </r>
  <r>
    <x v="3"/>
    <s v="NC1100170710"/>
    <s v="Fiber Internet"/>
    <s v="NC"/>
    <s v="2026-02-12T00:00:00"/>
  </r>
  <r>
    <x v="3"/>
    <s v="NC1100170729"/>
    <s v="Instant Internet"/>
    <s v="NC"/>
    <s v="2026-02-12T00:00:00"/>
  </r>
  <r>
    <x v="3"/>
    <s v="NC1100170804"/>
    <s v="Fiber Internet"/>
    <s v="NC"/>
    <s v="2026-02-12T00:00:00"/>
  </r>
  <r>
    <x v="3"/>
    <s v="NC1100170819"/>
    <s v="Fiber Internet"/>
    <s v="NC"/>
    <s v="2026-02-12T00:00:00"/>
  </r>
  <r>
    <x v="3"/>
    <s v="NC1100170820"/>
    <s v="BrightSpeed Internet+Value Added Services"/>
    <s v="NC"/>
    <s v="2026-02-12T00:00:00"/>
  </r>
  <r>
    <x v="3"/>
    <s v="NC1100170983"/>
    <s v="Fiber Internet"/>
    <s v="NC"/>
    <s v="2026-02-12T00:00:00"/>
  </r>
  <r>
    <x v="3"/>
    <s v="NC1100170988"/>
    <s v="Fiber Internet"/>
    <s v="NC"/>
    <s v="2026-02-12T00:00:00"/>
  </r>
  <r>
    <x v="3"/>
    <s v="NC1100171081"/>
    <s v="fQF Internet"/>
    <s v="NC"/>
    <s v="2026-02-13T00:00:00"/>
  </r>
  <r>
    <x v="3"/>
    <s v="NC1100171089"/>
    <s v="Instant Internet"/>
    <s v="NC"/>
    <s v="2026-02-13T00:00:00"/>
  </r>
  <r>
    <x v="3"/>
    <s v="NC1100171090"/>
    <s v="Fiber Internet"/>
    <s v="NC"/>
    <s v="2026-02-13T00:00:00"/>
  </r>
  <r>
    <x v="3"/>
    <s v="NC1100171143"/>
    <s v="Fiber Internet"/>
    <s v="NC"/>
    <s v="2026-02-13T00:00:00"/>
  </r>
  <r>
    <x v="3"/>
    <s v="NC1100171149"/>
    <s v="Fiber Internet"/>
    <s v="NC"/>
    <s v="2026-02-13T00:00:00"/>
  </r>
  <r>
    <x v="3"/>
    <s v="NC1100171180"/>
    <s v="Fiber Internet+Value Added Services"/>
    <s v="NC"/>
    <s v="2026-02-13T00:00:00"/>
  </r>
  <r>
    <x v="3"/>
    <s v="NC1100171211"/>
    <s v="Fiber Internet"/>
    <s v="NC"/>
    <s v="2026-02-13T00:00:00"/>
  </r>
  <r>
    <x v="3"/>
    <s v="NC1100171255"/>
    <s v="Fiber Internet"/>
    <s v="NC"/>
    <s v="2026-02-13T00:00:00"/>
  </r>
  <r>
    <x v="3"/>
    <s v="NC1100171285"/>
    <s v="Fiber Internet"/>
    <s v="NC"/>
    <s v="2026-02-13T00:00:00"/>
  </r>
  <r>
    <x v="3"/>
    <s v="NC1100171302"/>
    <s v="Fiber Internet"/>
    <s v="NC"/>
    <s v="2026-02-13T00:00:00"/>
  </r>
  <r>
    <x v="3"/>
    <s v="NC1100171317"/>
    <s v="Fiber Internet"/>
    <s v="NC"/>
    <s v="2026-02-13T00:00:00"/>
  </r>
  <r>
    <x v="3"/>
    <s v="NC1100171331"/>
    <s v="Fiber Internet"/>
    <s v="NC"/>
    <s v="2026-02-13T00:00:00"/>
  </r>
  <r>
    <x v="3"/>
    <s v="NC1100171339"/>
    <s v="Fiber Internet+Value Added Services"/>
    <s v="NC"/>
    <s v="2026-02-13T00:00:00"/>
  </r>
  <r>
    <x v="3"/>
    <s v="NC1100171363"/>
    <s v="Fiber Internet"/>
    <s v="NC"/>
    <s v="2026-02-13T00:00:00"/>
  </r>
  <r>
    <x v="3"/>
    <s v="NC1100171444"/>
    <s v="fQF Internet"/>
    <s v="NC"/>
    <s v="2026-02-14T00:00:00"/>
  </r>
  <r>
    <x v="3"/>
    <s v="NC1100171446"/>
    <s v="fQF Internet"/>
    <s v="NC"/>
    <s v="2026-02-14T00:00:00"/>
  </r>
  <r>
    <x v="3"/>
    <s v="NC1100171459"/>
    <s v="Fiber Internet"/>
    <s v="NC"/>
    <s v="2026-02-14T00:00:00"/>
  </r>
  <r>
    <x v="3"/>
    <s v="NC1100171466"/>
    <s v="Fiber Internet"/>
    <s v="NC"/>
    <s v="2026-02-14T00:00:00"/>
  </r>
  <r>
    <x v="3"/>
    <s v="NC1100171499"/>
    <s v="Fiber Internet"/>
    <s v="NC"/>
    <s v="2026-02-14T00:00:00"/>
  </r>
  <r>
    <x v="3"/>
    <s v="NC1100171503"/>
    <s v="Fiber Internet"/>
    <s v="NC"/>
    <s v="2026-02-14T00:00:00"/>
  </r>
  <r>
    <x v="3"/>
    <s v="NC1100171525"/>
    <s v="Fiber Internet+Value Added Services"/>
    <s v="NC"/>
    <s v="2026-02-14T00:00:00"/>
  </r>
  <r>
    <x v="3"/>
    <s v="NC1100171647"/>
    <s v="Fiber Internet"/>
    <s v="NC"/>
    <s v="2026-02-14T00:00:00"/>
  </r>
  <r>
    <x v="3"/>
    <s v="NC1100171665"/>
    <s v="Instant Internet+Value Added Services"/>
    <s v="NC"/>
    <s v="2026-02-15T00:00:00"/>
  </r>
  <r>
    <x v="3"/>
    <s v="NC1100171785"/>
    <s v="Fiber Internet"/>
    <s v="NC"/>
    <s v="2026-02-16T00:00:00"/>
  </r>
  <r>
    <x v="3"/>
    <s v="NC1100171805"/>
    <s v="Instant Internet"/>
    <s v="NC"/>
    <s v="2026-02-16T00:00:00"/>
  </r>
  <r>
    <x v="3"/>
    <s v="NC1100171830"/>
    <s v="Fiber Internet"/>
    <s v="NC"/>
    <s v="2026-02-16T00:00:00"/>
  </r>
  <r>
    <x v="3"/>
    <s v="NC1100171878"/>
    <s v="Instant Internet"/>
    <s v="NC"/>
    <s v="2026-02-16T00:00:00"/>
  </r>
  <r>
    <x v="3"/>
    <s v="NC1100171926"/>
    <s v="Fiber Internet"/>
    <s v="NC"/>
    <s v="2026-02-16T00:00:00"/>
  </r>
  <r>
    <x v="3"/>
    <s v="NC1100171944"/>
    <s v="Fiber Internet"/>
    <s v="NC"/>
    <s v="2026-02-16T00:00:00"/>
  </r>
  <r>
    <x v="3"/>
    <s v="NC1100171969"/>
    <s v="Instant Internet"/>
    <s v="NC"/>
    <s v="2026-02-16T00:00:00"/>
  </r>
  <r>
    <x v="3"/>
    <s v="NC1100171970"/>
    <s v="Fiber Internet"/>
    <s v="NC"/>
    <s v="2026-02-16T00:00:00"/>
  </r>
  <r>
    <x v="3"/>
    <s v="NC1100171975"/>
    <s v="Instant Internet"/>
    <s v="NC"/>
    <s v="2026-02-16T00:00:00"/>
  </r>
  <r>
    <x v="3"/>
    <s v="NC1100172025"/>
    <s v="Fiber Internet"/>
    <s v="NC"/>
    <s v="2026-02-16T00:00:00"/>
  </r>
  <r>
    <x v="3"/>
    <s v="NC1100172038"/>
    <s v="Fiber Internet"/>
    <s v="NC"/>
    <s v="2026-02-16T00:00:00"/>
  </r>
  <r>
    <x v="3"/>
    <s v="NC1100172055"/>
    <s v="Fiber Internet"/>
    <s v="NC"/>
    <s v="2026-02-16T00:00:00"/>
  </r>
  <r>
    <x v="3"/>
    <s v="NC1100172090"/>
    <s v="Fiber Internet"/>
    <s v="NC"/>
    <s v="2026-02-16T00:00:00"/>
  </r>
  <r>
    <x v="3"/>
    <s v="NC1100172230"/>
    <s v="Fiber Internet"/>
    <s v="NC"/>
    <s v="2026-02-17T00:00:00"/>
  </r>
  <r>
    <x v="3"/>
    <s v="NC1100172235"/>
    <s v="Fiber Internet"/>
    <s v="NC"/>
    <s v="2026-02-17T00:00:00"/>
  </r>
  <r>
    <x v="3"/>
    <s v="NC2100017011"/>
    <s v="fQF Internet+fQF Voice"/>
    <s v="NC"/>
    <s v="2026-02-03T00:00:00"/>
  </r>
  <r>
    <x v="3"/>
    <s v="NC2100017048"/>
    <s v="BrightSpeed Internet+BrightSpeed Voice"/>
    <s v="NC"/>
    <s v="2026-02-05T00:00:00"/>
  </r>
  <r>
    <x v="3"/>
    <s v="NC2100017087"/>
    <s v="fQF Internet+fQF Voice"/>
    <s v="NC"/>
    <s v="2026-02-09T00:00:00"/>
  </r>
  <r>
    <x v="3"/>
    <s v="NC2100017126"/>
    <s v="fQF Internet+fQF Voice+Value Added Services"/>
    <s v="NC"/>
    <s v="2026-02-11T00:00:00"/>
  </r>
  <r>
    <x v="3"/>
    <s v="NC2100017198"/>
    <s v="BrightSpeed Internet+BrightSpeed Voice+Value Added Services"/>
    <s v="NC"/>
    <s v="2026-02-16T00:00:00"/>
  </r>
  <r>
    <x v="3"/>
    <s v="NC4100008853"/>
    <s v="4G LTE+4G LTE DATA"/>
    <s v="NC"/>
    <s v="2026-02-05T00:00:00"/>
  </r>
  <r>
    <x v="3"/>
    <s v="NC6100003869"/>
    <s v="Fiber Internet"/>
    <s v="NC"/>
    <s v="2026-02-09T00:00:00"/>
  </r>
  <r>
    <x v="3"/>
    <s v="NC6100003873"/>
    <s v="Fiber Internet"/>
    <s v="NC"/>
    <s v="2026-02-13T00:00:00"/>
  </r>
  <r>
    <x v="3"/>
    <s v="NJ1100008160"/>
    <s v="fQF Internet"/>
    <s v="NJ"/>
    <s v="2026-02-14T00:00:00"/>
  </r>
  <r>
    <x v="3"/>
    <s v="OH1100067453"/>
    <s v="BrightSpeed Internet"/>
    <s v="OH"/>
    <s v="2026-02-03T00:00:00"/>
  </r>
  <r>
    <x v="3"/>
    <s v="OH1100067830"/>
    <s v="Fiber Internet+Value Added Services"/>
    <s v="OH"/>
    <s v="2026-02-06T00:00:00"/>
  </r>
  <r>
    <x v="3"/>
    <s v="OH1100068181"/>
    <s v="BrightSpeed Internet"/>
    <s v="OH"/>
    <s v="2026-02-10T00:00:00"/>
  </r>
  <r>
    <x v="3"/>
    <s v="OH1100068434"/>
    <s v="Fiber Internet"/>
    <s v="OH"/>
    <s v="2026-02-12T00:00:00"/>
  </r>
  <r>
    <x v="3"/>
    <s v="OH1100068633"/>
    <s v="Fiber Internet+Value Added Services"/>
    <s v="OH"/>
    <s v="2026-02-14T00:00:00"/>
  </r>
  <r>
    <x v="3"/>
    <s v="PA1100033660"/>
    <s v="Fiber Internet"/>
    <s v="PA"/>
    <s v="2026-02-05T00:00:00"/>
  </r>
  <r>
    <x v="3"/>
    <s v="PA1100033801"/>
    <s v="Fiber Internet"/>
    <s v="PA"/>
    <s v="2026-02-08T00:00:00"/>
  </r>
  <r>
    <x v="3"/>
    <s v="PA1100033895"/>
    <s v="Fiber Internet"/>
    <s v="PA"/>
    <s v="2026-02-10T00:00:00"/>
  </r>
  <r>
    <x v="3"/>
    <s v="PA1100033944"/>
    <s v="Fiber Internet"/>
    <s v="PA"/>
    <s v="2026-02-11T00:00:00"/>
  </r>
  <r>
    <x v="3"/>
    <s v="PA1100034015"/>
    <s v="Fiber Internet"/>
    <s v="PA"/>
    <s v="2026-02-12T00:00:00"/>
  </r>
  <r>
    <x v="3"/>
    <s v="SC1100014227"/>
    <s v="Fiber Internet"/>
    <s v="SC"/>
    <s v="2026-02-02T00:00:00"/>
  </r>
  <r>
    <x v="3"/>
    <s v="SC1100014277"/>
    <s v="Fiber Internet"/>
    <s v="SC"/>
    <s v="2026-02-03T00:00:00"/>
  </r>
  <r>
    <x v="3"/>
    <s v="SC1100014281"/>
    <s v="Fiber Internet+Value Added Services"/>
    <s v="SC"/>
    <s v="2026-02-03T00:00:00"/>
  </r>
  <r>
    <x v="3"/>
    <s v="SC1100014308"/>
    <s v="Fiber Internet"/>
    <s v="SC"/>
    <s v="2026-02-04T00:00:00"/>
  </r>
  <r>
    <x v="3"/>
    <s v="SC1100014391"/>
    <s v="Fiber Internet+Value Added Services"/>
    <s v="SC"/>
    <s v="2026-02-06T00:00:00"/>
  </r>
  <r>
    <x v="3"/>
    <s v="SC1100014463"/>
    <s v="Fiber Internet"/>
    <s v="SC"/>
    <s v="2026-02-07T00:00:00"/>
  </r>
  <r>
    <x v="3"/>
    <s v="SC1100014487"/>
    <s v="Fiber Internet"/>
    <s v="SC"/>
    <s v="2026-02-09T00:00:00"/>
  </r>
  <r>
    <x v="3"/>
    <s v="SC1100014501"/>
    <s v="Fiber Internet"/>
    <s v="SC"/>
    <s v="2026-02-09T00:00:00"/>
  </r>
  <r>
    <x v="3"/>
    <s v="SC1100014586"/>
    <s v="Fiber Internet"/>
    <s v="SC"/>
    <s v="2026-02-12T00:00:00"/>
  </r>
  <r>
    <x v="3"/>
    <s v="SC1100014602"/>
    <s v="Fiber Internet"/>
    <s v="SC"/>
    <s v="2026-02-12T00:00:00"/>
  </r>
  <r>
    <x v="3"/>
    <s v="SC1100014626"/>
    <s v="Fiber Internet"/>
    <s v="SC"/>
    <s v="2026-02-13T00:00:00"/>
  </r>
  <r>
    <x v="3"/>
    <s v="SC1100014628"/>
    <s v="Fiber Internet"/>
    <s v="SC"/>
    <s v="2026-02-13T00:00:00"/>
  </r>
  <r>
    <x v="3"/>
    <s v="SC1100014629"/>
    <s v="BrightSpeed Internet"/>
    <s v="SC"/>
    <s v="2026-02-13T00:00:00"/>
  </r>
  <r>
    <x v="3"/>
    <s v="SC1100014652"/>
    <s v="Fiber Internet"/>
    <s v="SC"/>
    <s v="2026-02-14T00:00:00"/>
  </r>
  <r>
    <x v="3"/>
    <s v="SC1100014677"/>
    <s v="Fiber Internet"/>
    <s v="SC"/>
    <s v="2026-02-16T00:00:00"/>
  </r>
  <r>
    <x v="3"/>
    <s v="SC6100000636"/>
    <s v="Fiber Internet"/>
    <s v="SC"/>
    <s v="2026-02-10T00:00:00"/>
  </r>
  <r>
    <x v="3"/>
    <s v="TN1100032405"/>
    <s v="fQF Internet"/>
    <s v="TN"/>
    <s v="2026-02-03T00:00:00"/>
  </r>
  <r>
    <x v="3"/>
    <s v="TN1100033083"/>
    <s v="Fiber Internet"/>
    <s v="TN"/>
    <s v="2026-02-13T00:00:00"/>
  </r>
  <r>
    <x v="3"/>
    <s v="TX1100043797"/>
    <s v="Fiber Internet"/>
    <s v="TX"/>
    <s v="2026-02-01T00:00:00"/>
  </r>
  <r>
    <x v="3"/>
    <s v="TX1100043805"/>
    <s v="Fiber Internet"/>
    <s v="TX"/>
    <s v="2026-02-01T00:00:00"/>
  </r>
  <r>
    <x v="3"/>
    <s v="TX1100043820"/>
    <s v="Fiber Internet"/>
    <s v="TX"/>
    <s v="2026-02-01T00:00:00"/>
  </r>
  <r>
    <x v="3"/>
    <s v="TX1100043827"/>
    <s v="Fiber Internet"/>
    <s v="TX"/>
    <s v="2026-02-02T00:00:00"/>
  </r>
  <r>
    <x v="3"/>
    <s v="TX1100043887"/>
    <s v="Fiber Internet"/>
    <s v="TX"/>
    <s v="2026-02-02T00:00:00"/>
  </r>
  <r>
    <x v="3"/>
    <s v="TX1100043941"/>
    <s v="Fiber Internet+Value Added Services"/>
    <s v="TX"/>
    <s v="2026-02-02T00:00:00"/>
  </r>
  <r>
    <x v="3"/>
    <s v="TX1100044061"/>
    <s v="fQF Internet"/>
    <s v="TX"/>
    <s v="2026-02-03T00:00:00"/>
  </r>
  <r>
    <x v="3"/>
    <s v="TX1100044157"/>
    <s v="Fiber Internet"/>
    <s v="TX"/>
    <s v="2026-02-04T00:00:00"/>
  </r>
  <r>
    <x v="3"/>
    <s v="TX1100044189"/>
    <s v="fQF Internet"/>
    <s v="TX"/>
    <s v="2026-02-04T00:00:00"/>
  </r>
  <r>
    <x v="3"/>
    <s v="TX1100044270"/>
    <s v="fQF Internet"/>
    <s v="TX"/>
    <s v="2026-02-04T00:00:00"/>
  </r>
  <r>
    <x v="3"/>
    <s v="TX1100044271"/>
    <s v="fQF Internet"/>
    <s v="TX"/>
    <s v="2026-02-04T00:00:00"/>
  </r>
  <r>
    <x v="3"/>
    <s v="TX1100044297"/>
    <s v="fQF Internet"/>
    <s v="TX"/>
    <s v="2026-02-04T00:00:00"/>
  </r>
  <r>
    <x v="3"/>
    <s v="TX1100044310"/>
    <s v="fQF Internet"/>
    <s v="TX"/>
    <s v="2026-02-05T00:00:00"/>
  </r>
  <r>
    <x v="3"/>
    <s v="TX1100044368"/>
    <s v="Fiber Internet"/>
    <s v="TX"/>
    <s v="2026-02-05T00:00:00"/>
  </r>
  <r>
    <x v="3"/>
    <s v="TX1100044437"/>
    <s v="fQF Internet"/>
    <s v="TX"/>
    <s v="2026-02-05T00:00:00"/>
  </r>
  <r>
    <x v="3"/>
    <s v="TX1100044562"/>
    <s v="Fiber Internet"/>
    <s v="TX"/>
    <s v="2026-02-06T00:00:00"/>
  </r>
  <r>
    <x v="3"/>
    <s v="TX1100044571"/>
    <s v="Fiber Internet"/>
    <s v="TX"/>
    <s v="2026-02-06T00:00:00"/>
  </r>
  <r>
    <x v="3"/>
    <s v="TX1100044597"/>
    <s v="Fiber Internet"/>
    <s v="TX"/>
    <s v="2026-02-06T00:00:00"/>
  </r>
  <r>
    <x v="3"/>
    <s v="TX1100044610"/>
    <s v="Fiber Internet"/>
    <s v="TX"/>
    <s v="2026-02-06T00:00:00"/>
  </r>
  <r>
    <x v="3"/>
    <s v="TX1100044677"/>
    <s v="fQF Internet"/>
    <s v="TX"/>
    <s v="2026-02-06T00:00:00"/>
  </r>
  <r>
    <x v="3"/>
    <s v="TX1100044898"/>
    <s v="Fiber Internet"/>
    <s v="TX"/>
    <s v="2026-02-07T00:00:00"/>
  </r>
  <r>
    <x v="3"/>
    <s v="TX1100044908"/>
    <s v="fQF Internet"/>
    <s v="TX"/>
    <s v="2026-02-07T00:00:00"/>
  </r>
  <r>
    <x v="3"/>
    <s v="TX1100044926"/>
    <s v="fQF Internet"/>
    <s v="TX"/>
    <s v="2026-02-07T00:00:00"/>
  </r>
  <r>
    <x v="3"/>
    <s v="TX1100044967"/>
    <s v="Fiber Internet"/>
    <s v="TX"/>
    <s v="2026-02-08T00:00:00"/>
  </r>
  <r>
    <x v="3"/>
    <s v="TX1100045014"/>
    <s v="Fiber Internet"/>
    <s v="TX"/>
    <s v="2026-02-08T00:00:00"/>
  </r>
  <r>
    <x v="3"/>
    <s v="TX1100045021"/>
    <s v="Fiber Internet"/>
    <s v="TX"/>
    <s v="2026-02-08T00:00:00"/>
  </r>
  <r>
    <x v="3"/>
    <s v="TX1100045076"/>
    <s v="Fiber Internet"/>
    <s v="TX"/>
    <s v="2026-02-09T00:00:00"/>
  </r>
  <r>
    <x v="3"/>
    <s v="TX1100045105"/>
    <s v="fQF Internet"/>
    <s v="TX"/>
    <s v="2026-02-09T00:00:00"/>
  </r>
  <r>
    <x v="3"/>
    <s v="TX1100045387"/>
    <s v="Fiber Internet"/>
    <s v="TX"/>
    <s v="2026-02-10T00:00:00"/>
  </r>
  <r>
    <x v="3"/>
    <s v="TX1100045474"/>
    <s v="Fiber Internet"/>
    <s v="TX"/>
    <s v="2026-02-11T00:00:00"/>
  </r>
  <r>
    <x v="3"/>
    <s v="TX1100045629"/>
    <s v="fQF Internet"/>
    <s v="TX"/>
    <s v="2026-02-12T00:00:00"/>
  </r>
  <r>
    <x v="3"/>
    <s v="TX1100045634"/>
    <s v="Fiber Internet"/>
    <s v="TX"/>
    <s v="2026-02-12T00:00:00"/>
  </r>
  <r>
    <x v="3"/>
    <s v="TX1100045652"/>
    <s v="Fiber Internet"/>
    <s v="TX"/>
    <s v="2026-02-12T00:00:00"/>
  </r>
  <r>
    <x v="3"/>
    <s v="TX1100045777"/>
    <s v="fQF Internet"/>
    <s v="TX"/>
    <s v="2026-02-12T00:00:00"/>
  </r>
  <r>
    <x v="3"/>
    <s v="TX1100045870"/>
    <s v="Fiber Internet"/>
    <s v="TX"/>
    <s v="2026-02-13T00:00:00"/>
  </r>
  <r>
    <x v="3"/>
    <s v="TX1100046085"/>
    <s v="Fiber Internet"/>
    <s v="TX"/>
    <s v="2026-02-14T00:00:00"/>
  </r>
  <r>
    <x v="3"/>
    <s v="TX1100046111"/>
    <s v="Fiber Internet"/>
    <s v="TX"/>
    <s v="2026-02-15T00:00:00"/>
  </r>
  <r>
    <x v="3"/>
    <s v="TX1100046209"/>
    <s v="fQF Internet"/>
    <s v="TX"/>
    <s v="2026-02-16T00:00:00"/>
  </r>
  <r>
    <x v="3"/>
    <s v="TX2100002162"/>
    <s v="fQF Internet+fQF Voice"/>
    <s v="TX"/>
    <s v="2026-02-09T00:00:00"/>
  </r>
  <r>
    <x v="3"/>
    <s v="TX2100002180"/>
    <s v="DSL+POTS"/>
    <s v="TX"/>
    <s v="2026-02-13T00:00:00"/>
  </r>
  <r>
    <x v="3"/>
    <s v="VA1100025132"/>
    <s v="Instant Internet"/>
    <s v="VA"/>
    <s v="2026-02-06T00:00:00"/>
  </r>
  <r>
    <x v="3"/>
    <s v="VA1100025474"/>
    <s v="Fiber Internet"/>
    <s v="VA"/>
    <s v="2026-02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7ABD7-724E-4C72-A8CF-5733C8AD5A0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4:I9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[ORDER #]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EE97-C517-47FA-8936-316CC91B5DB3}">
  <dimension ref="A1:I17"/>
  <sheetViews>
    <sheetView workbookViewId="0">
      <selection activeCell="E6" sqref="E6"/>
    </sheetView>
  </sheetViews>
  <sheetFormatPr defaultRowHeight="14.5" x14ac:dyDescent="0.35"/>
  <cols>
    <col min="1" max="1" width="18.81640625" bestFit="1" customWidth="1"/>
    <col min="2" max="2" width="8.7265625" style="1"/>
    <col min="3" max="3" width="11.54296875" bestFit="1" customWidth="1"/>
    <col min="5" max="6" width="15.54296875" style="1" customWidth="1"/>
    <col min="7" max="7" width="27.81640625" style="1" bestFit="1" customWidth="1"/>
    <col min="8" max="9" width="15.54296875" style="1" customWidth="1"/>
  </cols>
  <sheetData>
    <row r="1" spans="1:9" x14ac:dyDescent="0.35">
      <c r="B1" s="1" t="s">
        <v>0</v>
      </c>
      <c r="C1" t="s">
        <v>1</v>
      </c>
      <c r="D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s="3">
        <v>500</v>
      </c>
      <c r="C2" s="4">
        <v>3333.33</v>
      </c>
      <c r="D2">
        <v>0.5</v>
      </c>
      <c r="E2" s="1">
        <v>0.75</v>
      </c>
      <c r="F2" s="1">
        <v>1</v>
      </c>
      <c r="G2" s="1">
        <v>1.25</v>
      </c>
      <c r="H2" s="1">
        <v>1.4</v>
      </c>
      <c r="I2" s="1">
        <v>1.6</v>
      </c>
    </row>
    <row r="3" spans="1:9" x14ac:dyDescent="0.35">
      <c r="A3" t="s">
        <v>9</v>
      </c>
      <c r="B3" s="2">
        <f>C2/B2</f>
        <v>6.6666600000000003</v>
      </c>
    </row>
    <row r="4" spans="1:9" x14ac:dyDescent="0.35">
      <c r="B4" s="2"/>
    </row>
    <row r="5" spans="1:9" x14ac:dyDescent="0.35">
      <c r="A5" t="s">
        <v>10</v>
      </c>
      <c r="B5" s="1" t="s">
        <v>11</v>
      </c>
      <c r="C5" t="s">
        <v>12</v>
      </c>
      <c r="D5" t="s">
        <v>13</v>
      </c>
      <c r="E5" s="1" t="s">
        <v>14</v>
      </c>
      <c r="G5" s="7" t="s">
        <v>24</v>
      </c>
    </row>
    <row r="6" spans="1:9" x14ac:dyDescent="0.35">
      <c r="A6" t="s">
        <v>15</v>
      </c>
      <c r="B6" s="3">
        <v>120</v>
      </c>
      <c r="C6" s="5" t="s">
        <v>2</v>
      </c>
      <c r="D6" s="5">
        <v>0.5</v>
      </c>
      <c r="E6" s="2">
        <f>(B6*B3)*D6</f>
        <v>399.99959999999999</v>
      </c>
      <c r="G6" s="7" t="s">
        <v>26</v>
      </c>
    </row>
    <row r="7" spans="1:9" x14ac:dyDescent="0.35">
      <c r="A7" t="s">
        <v>16</v>
      </c>
      <c r="B7" s="3">
        <v>150</v>
      </c>
      <c r="C7" s="5" t="s">
        <v>17</v>
      </c>
      <c r="D7" s="5">
        <v>1.25</v>
      </c>
      <c r="E7" s="2">
        <f>(B7*B3)*D7</f>
        <v>1249.99875</v>
      </c>
      <c r="G7" s="7" t="s">
        <v>27</v>
      </c>
    </row>
    <row r="8" spans="1:9" x14ac:dyDescent="0.35">
      <c r="A8" t="s">
        <v>18</v>
      </c>
      <c r="B8" s="3">
        <v>55</v>
      </c>
      <c r="C8" s="5" t="s">
        <v>6</v>
      </c>
      <c r="D8" s="5">
        <v>1.4</v>
      </c>
      <c r="E8" s="2">
        <f>(B8*B3)*D8</f>
        <v>513.33281999999997</v>
      </c>
      <c r="G8" s="7" t="s">
        <v>28</v>
      </c>
    </row>
    <row r="9" spans="1:9" x14ac:dyDescent="0.35">
      <c r="A9" t="s">
        <v>19</v>
      </c>
      <c r="B9" s="3">
        <v>75</v>
      </c>
      <c r="C9" s="5" t="s">
        <v>7</v>
      </c>
      <c r="D9" s="5">
        <v>1.6</v>
      </c>
      <c r="E9" s="2">
        <f>(B9*B3)*D9</f>
        <v>799.99920000000009</v>
      </c>
      <c r="G9" s="7"/>
    </row>
    <row r="10" spans="1:9" x14ac:dyDescent="0.35">
      <c r="A10" t="s">
        <v>20</v>
      </c>
      <c r="B10" s="3">
        <v>200</v>
      </c>
      <c r="C10" s="5" t="s">
        <v>6</v>
      </c>
      <c r="D10" s="5">
        <v>1.4</v>
      </c>
      <c r="E10" s="2">
        <f>(B10*B3)*D10</f>
        <v>1866.6648</v>
      </c>
      <c r="G10" s="6"/>
    </row>
    <row r="11" spans="1:9" x14ac:dyDescent="0.35">
      <c r="G11" s="6"/>
    </row>
    <row r="12" spans="1:9" x14ac:dyDescent="0.35">
      <c r="G12" s="6"/>
    </row>
    <row r="13" spans="1:9" x14ac:dyDescent="0.35">
      <c r="A13" t="s">
        <v>21</v>
      </c>
      <c r="B13" s="1">
        <f>SUM(B6:B12)</f>
        <v>600</v>
      </c>
      <c r="C13" s="1"/>
      <c r="D13" s="1"/>
      <c r="E13" s="1">
        <f t="shared" ref="E13" si="0">SUM(E6:E12)</f>
        <v>4829.9951700000001</v>
      </c>
    </row>
    <row r="15" spans="1:9" x14ac:dyDescent="0.35">
      <c r="E15" s="6" t="s">
        <v>22</v>
      </c>
    </row>
    <row r="16" spans="1:9" x14ac:dyDescent="0.35">
      <c r="C16" s="6"/>
      <c r="E16" s="6"/>
    </row>
    <row r="17" spans="1:2" x14ac:dyDescent="0.35">
      <c r="A17" t="s">
        <v>1</v>
      </c>
      <c r="B17" s="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85B3-BDE6-4C92-821A-C338793174AF}">
  <dimension ref="B4:E18"/>
  <sheetViews>
    <sheetView workbookViewId="0">
      <selection activeCell="B4" sqref="B4:E18"/>
    </sheetView>
  </sheetViews>
  <sheetFormatPr defaultRowHeight="14.5" x14ac:dyDescent="0.35"/>
  <sheetData>
    <row r="4" spans="2:5" x14ac:dyDescent="0.35">
      <c r="B4" s="31" t="s">
        <v>83</v>
      </c>
      <c r="C4" s="31"/>
      <c r="D4" s="31"/>
      <c r="E4" s="31"/>
    </row>
    <row r="5" spans="2:5" ht="39.5" x14ac:dyDescent="0.35">
      <c r="B5" s="32"/>
      <c r="C5" s="33" t="s">
        <v>84</v>
      </c>
      <c r="D5" s="33" t="s">
        <v>85</v>
      </c>
      <c r="E5" s="33" t="s">
        <v>86</v>
      </c>
    </row>
    <row r="6" spans="2:5" x14ac:dyDescent="0.35">
      <c r="B6" s="34">
        <v>46023</v>
      </c>
      <c r="C6" s="32">
        <v>27</v>
      </c>
      <c r="D6" s="32">
        <v>138</v>
      </c>
      <c r="E6" s="35">
        <v>3726</v>
      </c>
    </row>
    <row r="7" spans="2:5" x14ac:dyDescent="0.35">
      <c r="B7" s="34">
        <v>46054</v>
      </c>
      <c r="C7" s="32">
        <v>27</v>
      </c>
      <c r="D7" s="32">
        <v>138</v>
      </c>
      <c r="E7" s="35">
        <v>3726</v>
      </c>
    </row>
    <row r="8" spans="2:5" x14ac:dyDescent="0.35">
      <c r="B8" s="34">
        <v>46082</v>
      </c>
      <c r="C8" s="32">
        <v>27</v>
      </c>
      <c r="D8" s="32">
        <v>138</v>
      </c>
      <c r="E8" s="35">
        <v>3726</v>
      </c>
    </row>
    <row r="9" spans="2:5" x14ac:dyDescent="0.35">
      <c r="B9" s="34">
        <v>46113</v>
      </c>
      <c r="C9" s="32">
        <v>27</v>
      </c>
      <c r="D9" s="32">
        <v>138</v>
      </c>
      <c r="E9" s="35">
        <v>3726</v>
      </c>
    </row>
    <row r="10" spans="2:5" x14ac:dyDescent="0.35">
      <c r="B10" s="34">
        <v>46143</v>
      </c>
      <c r="C10" s="32">
        <v>27</v>
      </c>
      <c r="D10" s="32">
        <v>138</v>
      </c>
      <c r="E10" s="35">
        <v>3726</v>
      </c>
    </row>
    <row r="11" spans="2:5" x14ac:dyDescent="0.35">
      <c r="B11" s="34">
        <v>46174</v>
      </c>
      <c r="C11" s="32">
        <v>27</v>
      </c>
      <c r="D11" s="32">
        <v>138</v>
      </c>
      <c r="E11" s="35">
        <v>3726</v>
      </c>
    </row>
    <row r="12" spans="2:5" x14ac:dyDescent="0.35">
      <c r="B12" s="34">
        <v>46204</v>
      </c>
      <c r="C12" s="32">
        <v>27</v>
      </c>
      <c r="D12" s="32">
        <v>138</v>
      </c>
      <c r="E12" s="35">
        <v>3726</v>
      </c>
    </row>
    <row r="13" spans="2:5" x14ac:dyDescent="0.35">
      <c r="B13" s="34">
        <v>46235</v>
      </c>
      <c r="C13" s="32">
        <v>27</v>
      </c>
      <c r="D13" s="32">
        <v>138</v>
      </c>
      <c r="E13" s="35">
        <v>3726</v>
      </c>
    </row>
    <row r="14" spans="2:5" x14ac:dyDescent="0.35">
      <c r="B14" s="34">
        <v>46266</v>
      </c>
      <c r="C14" s="32">
        <v>27</v>
      </c>
      <c r="D14" s="32">
        <v>138</v>
      </c>
      <c r="E14" s="35">
        <v>3726</v>
      </c>
    </row>
    <row r="15" spans="2:5" x14ac:dyDescent="0.35">
      <c r="B15" s="34">
        <v>46296</v>
      </c>
      <c r="C15" s="32">
        <v>27</v>
      </c>
      <c r="D15" s="32">
        <v>138</v>
      </c>
      <c r="E15" s="35">
        <v>3726</v>
      </c>
    </row>
    <row r="16" spans="2:5" x14ac:dyDescent="0.35">
      <c r="B16" s="34">
        <v>46327</v>
      </c>
      <c r="C16" s="32">
        <v>27</v>
      </c>
      <c r="D16" s="32">
        <v>138</v>
      </c>
      <c r="E16" s="35">
        <v>3726</v>
      </c>
    </row>
    <row r="17" spans="2:5" x14ac:dyDescent="0.35">
      <c r="B17" s="34">
        <v>46357</v>
      </c>
      <c r="C17" s="32">
        <v>27</v>
      </c>
      <c r="D17" s="32">
        <v>138</v>
      </c>
      <c r="E17" s="35">
        <v>3726</v>
      </c>
    </row>
    <row r="18" spans="2:5" ht="15" thickBot="1" x14ac:dyDescent="0.4">
      <c r="B18" s="36" t="s">
        <v>87</v>
      </c>
      <c r="C18" s="37"/>
      <c r="D18" s="37"/>
      <c r="E18" s="38">
        <f>SUM(E6:E17)</f>
        <v>44712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F06C-F12A-48D2-9790-3D06F0D1189F}">
  <sheetPr>
    <tabColor theme="4"/>
  </sheetPr>
  <dimension ref="C3:H31"/>
  <sheetViews>
    <sheetView tabSelected="1" workbookViewId="0">
      <selection activeCell="U7" sqref="U7"/>
    </sheetView>
  </sheetViews>
  <sheetFormatPr defaultRowHeight="14.5" x14ac:dyDescent="0.35"/>
  <cols>
    <col min="3" max="3" width="22.36328125" customWidth="1"/>
    <col min="4" max="4" width="14.6328125" customWidth="1"/>
    <col min="5" max="8" width="15.7265625" customWidth="1"/>
  </cols>
  <sheetData>
    <row r="3" spans="3:8" x14ac:dyDescent="0.35">
      <c r="C3" s="136" t="s">
        <v>1043</v>
      </c>
      <c r="D3" s="136"/>
      <c r="E3" s="136"/>
      <c r="F3" s="136"/>
      <c r="G3" s="136"/>
      <c r="H3" s="136"/>
    </row>
    <row r="4" spans="3:8" x14ac:dyDescent="0.35">
      <c r="C4" s="8" t="s">
        <v>106</v>
      </c>
      <c r="D4" s="8" t="s">
        <v>46</v>
      </c>
      <c r="E4" s="16" t="s">
        <v>992</v>
      </c>
      <c r="F4" s="16" t="s">
        <v>994</v>
      </c>
      <c r="G4" s="16" t="s">
        <v>1042</v>
      </c>
      <c r="H4" s="49" t="s">
        <v>993</v>
      </c>
    </row>
    <row r="5" spans="3:8" x14ac:dyDescent="0.35">
      <c r="C5" s="101" t="s">
        <v>940</v>
      </c>
      <c r="D5" t="s">
        <v>8</v>
      </c>
      <c r="E5" s="15">
        <f>'AE Jan Model'!O4</f>
        <v>3250</v>
      </c>
      <c r="F5" s="15">
        <f>'AE Jan Model'!P4</f>
        <v>1475.5199999999998</v>
      </c>
      <c r="G5" s="15">
        <f>'AE Jan Model'!Q4</f>
        <v>-1774.4800000000002</v>
      </c>
      <c r="H5" s="43">
        <f>'AE Jan Model'!S4</f>
        <v>0</v>
      </c>
    </row>
    <row r="6" spans="3:8" x14ac:dyDescent="0.35">
      <c r="C6" s="101" t="s">
        <v>941</v>
      </c>
      <c r="D6" t="s">
        <v>8</v>
      </c>
      <c r="E6" s="15">
        <f>'AE Jan Model'!O5</f>
        <v>4000</v>
      </c>
      <c r="F6" s="15">
        <f>'AE Jan Model'!P5</f>
        <v>3562.6499999999996</v>
      </c>
      <c r="G6" s="15">
        <f>'AE Jan Model'!Q5</f>
        <v>-437.35000000000036</v>
      </c>
      <c r="H6" s="43">
        <f>'AE Jan Model'!S5</f>
        <v>0</v>
      </c>
    </row>
    <row r="7" spans="3:8" x14ac:dyDescent="0.35">
      <c r="C7" s="101" t="s">
        <v>942</v>
      </c>
      <c r="D7" t="s">
        <v>8</v>
      </c>
      <c r="E7" s="15">
        <f>'AE Jan Model'!O6</f>
        <v>3250</v>
      </c>
      <c r="F7" s="15">
        <f>'AE Jan Model'!P6</f>
        <v>995.28</v>
      </c>
      <c r="G7" s="15">
        <f>'AE Jan Model'!Q6</f>
        <v>-2254.7200000000003</v>
      </c>
      <c r="H7" s="43">
        <f>'AE Jan Model'!S6</f>
        <v>0</v>
      </c>
    </row>
    <row r="8" spans="3:8" x14ac:dyDescent="0.35">
      <c r="C8" t="s">
        <v>111</v>
      </c>
      <c r="D8" t="s">
        <v>8</v>
      </c>
      <c r="E8" s="15">
        <f>'AE Jan Model'!O7</f>
        <v>11050</v>
      </c>
      <c r="F8" s="15">
        <f>'AE Jan Model'!P7</f>
        <v>4494.4199999999992</v>
      </c>
      <c r="G8" s="15">
        <f>'AE Jan Model'!Q7</f>
        <v>-6555.5800000000008</v>
      </c>
      <c r="H8" s="43">
        <f>'AE Jan Model'!S7</f>
        <v>555.06000000000006</v>
      </c>
    </row>
    <row r="9" spans="3:8" x14ac:dyDescent="0.35">
      <c r="C9" t="s">
        <v>114</v>
      </c>
      <c r="D9" t="s">
        <v>8</v>
      </c>
      <c r="E9" s="15">
        <f>'AE Jan Model'!O8</f>
        <v>0</v>
      </c>
      <c r="F9" s="15">
        <f>'AE Jan Model'!P8</f>
        <v>0</v>
      </c>
      <c r="G9" s="15">
        <f>'AE Jan Model'!Q8</f>
        <v>0</v>
      </c>
      <c r="H9" s="43">
        <f>'AE Jan Model'!S8</f>
        <v>1144.9199999999998</v>
      </c>
    </row>
    <row r="10" spans="3:8" x14ac:dyDescent="0.35">
      <c r="C10" t="s">
        <v>117</v>
      </c>
      <c r="D10" t="s">
        <v>8</v>
      </c>
      <c r="E10" s="15">
        <f>'AE Jan Model'!O9</f>
        <v>12300</v>
      </c>
      <c r="F10" s="15">
        <f>'AE Jan Model'!P9</f>
        <v>7669.42</v>
      </c>
      <c r="G10" s="15">
        <f>'AE Jan Model'!Q9</f>
        <v>-4630.58</v>
      </c>
      <c r="H10" s="43">
        <f>'AE Jan Model'!S9</f>
        <v>344.52</v>
      </c>
    </row>
    <row r="11" spans="3:8" x14ac:dyDescent="0.35">
      <c r="C11" s="101" t="s">
        <v>943</v>
      </c>
      <c r="D11" t="s">
        <v>8</v>
      </c>
      <c r="E11" s="15">
        <f>'AE Jan Model'!O10</f>
        <v>2500</v>
      </c>
      <c r="F11" s="15">
        <f>'AE Jan Model'!P10</f>
        <v>1315.4399999999998</v>
      </c>
      <c r="G11" s="15">
        <f>'AE Jan Model'!Q10</f>
        <v>-1184.5600000000002</v>
      </c>
      <c r="H11" s="43">
        <f>'AE Jan Model'!S10</f>
        <v>0</v>
      </c>
    </row>
    <row r="12" spans="3:8" x14ac:dyDescent="0.35">
      <c r="C12" t="s">
        <v>125</v>
      </c>
      <c r="D12" t="s">
        <v>8</v>
      </c>
      <c r="E12" s="15">
        <f>'AE Jan Model'!O11</f>
        <v>8000</v>
      </c>
      <c r="F12" s="15">
        <f>'AE Jan Model'!P11</f>
        <v>2490.81</v>
      </c>
      <c r="G12" s="15">
        <f>'AE Jan Model'!Q11</f>
        <v>-5509.1900000000005</v>
      </c>
      <c r="H12" s="43">
        <f>'AE Jan Model'!S11</f>
        <v>2976.27</v>
      </c>
    </row>
    <row r="13" spans="3:8" x14ac:dyDescent="0.35">
      <c r="C13" t="s">
        <v>120</v>
      </c>
      <c r="D13" t="s">
        <v>44</v>
      </c>
      <c r="E13" s="15">
        <f>'AE Jan Model'!O12</f>
        <v>0</v>
      </c>
      <c r="F13" s="15">
        <f>'AE Jan Model'!P12</f>
        <v>0</v>
      </c>
      <c r="G13" s="15">
        <f>'AE Jan Model'!Q12</f>
        <v>0</v>
      </c>
      <c r="H13" s="43">
        <f>'AE Jan Model'!S12</f>
        <v>6892.6440000000002</v>
      </c>
    </row>
    <row r="14" spans="3:8" ht="15" thickBot="1" x14ac:dyDescent="0.4">
      <c r="C14" s="85" t="s">
        <v>42</v>
      </c>
      <c r="D14" s="86"/>
      <c r="E14" s="120">
        <f>SUM(E5:E13)</f>
        <v>44350</v>
      </c>
      <c r="F14" s="120">
        <f t="shared" ref="F14:H14" si="0">SUM(F5:F13)</f>
        <v>22003.54</v>
      </c>
      <c r="G14" s="120">
        <f t="shared" si="0"/>
        <v>-22346.46</v>
      </c>
      <c r="H14" s="135">
        <f t="shared" si="0"/>
        <v>11913.414000000001</v>
      </c>
    </row>
    <row r="15" spans="3:8" x14ac:dyDescent="0.35">
      <c r="D15" s="11"/>
    </row>
    <row r="16" spans="3:8" x14ac:dyDescent="0.35">
      <c r="C16" s="52" t="s">
        <v>944</v>
      </c>
      <c r="D16" s="92" t="s">
        <v>68</v>
      </c>
      <c r="E16" s="95">
        <f>'AE Jan Model'!O15</f>
        <v>0</v>
      </c>
      <c r="F16" s="95">
        <f>'AE Jan Model'!P15</f>
        <v>3740.9793045863898</v>
      </c>
      <c r="G16" s="95">
        <f>'AE Jan Model'!Q15</f>
        <v>0</v>
      </c>
      <c r="H16" s="119">
        <f>'AE Jan Model'!S15</f>
        <v>1725.1148088507186</v>
      </c>
    </row>
    <row r="18" spans="3:8" x14ac:dyDescent="0.35">
      <c r="C18" s="136" t="s">
        <v>1044</v>
      </c>
      <c r="D18" s="136"/>
      <c r="E18" s="136"/>
      <c r="F18" s="136"/>
      <c r="G18" s="136"/>
      <c r="H18" s="136"/>
    </row>
    <row r="19" spans="3:8" x14ac:dyDescent="0.35">
      <c r="C19" s="8" t="s">
        <v>73</v>
      </c>
      <c r="D19" s="8" t="s">
        <v>46</v>
      </c>
      <c r="E19" s="16" t="s">
        <v>992</v>
      </c>
      <c r="F19" s="16" t="s">
        <v>994</v>
      </c>
      <c r="G19" s="16" t="s">
        <v>1042</v>
      </c>
      <c r="H19" s="49" t="s">
        <v>993</v>
      </c>
    </row>
    <row r="20" spans="3:8" x14ac:dyDescent="0.35">
      <c r="C20" s="77" t="s">
        <v>920</v>
      </c>
      <c r="D20" t="s">
        <v>1022</v>
      </c>
      <c r="E20" s="15">
        <f>'TSR Sales Feb Model'!S28</f>
        <v>2435.8333333333335</v>
      </c>
      <c r="F20" s="15">
        <f>'TSR Sales Feb Model'!T28</f>
        <v>2574.7754596180189</v>
      </c>
      <c r="G20" s="15">
        <f>'TSR Sales Feb Model'!U28</f>
        <v>138.9421262846854</v>
      </c>
      <c r="H20" s="43">
        <f>'TSR Sales Feb Model'!P28</f>
        <v>2013.5579362536764</v>
      </c>
    </row>
    <row r="21" spans="3:8" x14ac:dyDescent="0.35">
      <c r="C21" s="6" t="s">
        <v>352</v>
      </c>
      <c r="D21" t="s">
        <v>1022</v>
      </c>
      <c r="E21" s="15">
        <f>'TSR Sales Feb Model'!S29</f>
        <v>1969.1666666666667</v>
      </c>
      <c r="F21" s="15">
        <f>'TSR Sales Feb Model'!T29</f>
        <v>2151.7366143102736</v>
      </c>
      <c r="G21" s="15">
        <f>'TSR Sales Feb Model'!U29</f>
        <v>182.56994764360684</v>
      </c>
      <c r="H21" s="43">
        <f>'TSR Sales Feb Model'!P29</f>
        <v>1833.88206347711</v>
      </c>
    </row>
    <row r="22" spans="3:8" x14ac:dyDescent="0.35">
      <c r="C22" s="6" t="s">
        <v>503</v>
      </c>
      <c r="D22" t="s">
        <v>1022</v>
      </c>
      <c r="E22" s="15">
        <f>'TSR Sales Feb Model'!S30</f>
        <v>2307.5</v>
      </c>
      <c r="F22" s="15">
        <f>'TSR Sales Feb Model'!T30</f>
        <v>2370.6720217349584</v>
      </c>
      <c r="G22" s="15">
        <f>'TSR Sales Feb Model'!U30</f>
        <v>63.172021734958435</v>
      </c>
      <c r="H22" s="43">
        <f>'TSR Sales Feb Model'!P30</f>
        <v>1777.9067799854922</v>
      </c>
    </row>
    <row r="23" spans="3:8" x14ac:dyDescent="0.35">
      <c r="C23" t="s">
        <v>996</v>
      </c>
      <c r="D23" t="s">
        <v>1023</v>
      </c>
      <c r="E23" s="15">
        <f>'TSR Sales Feb Model'!S31</f>
        <v>0</v>
      </c>
      <c r="F23" s="15">
        <f>'TSR Sales Feb Model'!T31</f>
        <v>3166.1596335184686</v>
      </c>
      <c r="G23" s="15">
        <f>'TSR Sales Feb Model'!U31</f>
        <v>3166.1596335184686</v>
      </c>
      <c r="H23" s="43">
        <f>'TSR Sales Feb Model'!P31</f>
        <v>2376.0304788589583</v>
      </c>
    </row>
    <row r="24" spans="3:8" ht="15" thickBot="1" x14ac:dyDescent="0.4">
      <c r="C24" s="85"/>
      <c r="D24" s="86"/>
      <c r="E24" s="120">
        <f>SUM(E20:E23)</f>
        <v>6712.5</v>
      </c>
      <c r="F24" s="120">
        <f t="shared" ref="F24:G24" si="1">SUM(F20:F23)</f>
        <v>10263.343729181719</v>
      </c>
      <c r="G24" s="120">
        <f t="shared" si="1"/>
        <v>3550.843729181719</v>
      </c>
      <c r="H24" s="135">
        <f>SUM(H20:H23)</f>
        <v>8001.3772585752367</v>
      </c>
    </row>
    <row r="26" spans="3:8" x14ac:dyDescent="0.35">
      <c r="C26" s="124" t="s">
        <v>636</v>
      </c>
      <c r="D26" s="52" t="s">
        <v>99</v>
      </c>
      <c r="E26" s="95">
        <f>'TSR Sales Feb Model'!S34</f>
        <v>4284.833333333333</v>
      </c>
      <c r="F26" s="95">
        <f>'TSR Sales Feb Model'!T34</f>
        <v>4270.2033174331591</v>
      </c>
      <c r="G26" s="95">
        <f>'TSR Sales Feb Model'!U34</f>
        <v>-14.63001590017393</v>
      </c>
      <c r="H26" s="119">
        <f>'TSR Sales Feb Model'!P34</f>
        <v>3327.7328233863982</v>
      </c>
    </row>
    <row r="29" spans="3:8" x14ac:dyDescent="0.35">
      <c r="C29" s="136" t="s">
        <v>1045</v>
      </c>
      <c r="D29" s="136"/>
      <c r="E29" s="136"/>
      <c r="F29" s="136"/>
      <c r="G29" s="136"/>
      <c r="H29" s="136"/>
    </row>
    <row r="30" spans="3:8" x14ac:dyDescent="0.35">
      <c r="C30" s="8" t="s">
        <v>73</v>
      </c>
      <c r="D30" s="8" t="s">
        <v>46</v>
      </c>
      <c r="E30" s="16" t="s">
        <v>992</v>
      </c>
      <c r="F30" s="16" t="s">
        <v>994</v>
      </c>
      <c r="G30" s="16" t="s">
        <v>1042</v>
      </c>
      <c r="H30" s="49" t="s">
        <v>993</v>
      </c>
    </row>
    <row r="31" spans="3:8" x14ac:dyDescent="0.35">
      <c r="C31" s="52" t="s">
        <v>1046</v>
      </c>
      <c r="D31" s="52" t="s">
        <v>1047</v>
      </c>
      <c r="E31" s="95">
        <f>'Dir Model'!G21</f>
        <v>5328.8235648148147</v>
      </c>
      <c r="F31" s="95">
        <f>'Dir Model'!G20</f>
        <v>4953.1564571110657</v>
      </c>
      <c r="G31" s="95">
        <f>F31-E31</f>
        <v>-375.66710770374902</v>
      </c>
      <c r="H31" s="119">
        <f>'Dir Model'!G29</f>
        <v>3235.0982510171061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E446E-E9CE-47AD-9B22-0A390898D895}">
  <dimension ref="A2:P47"/>
  <sheetViews>
    <sheetView showGridLines="0" zoomScale="80" zoomScaleNormal="80" workbookViewId="0">
      <selection activeCell="U26" sqref="U26"/>
    </sheetView>
  </sheetViews>
  <sheetFormatPr defaultRowHeight="14.5" x14ac:dyDescent="0.35"/>
  <cols>
    <col min="2" max="2" width="29.90625" customWidth="1"/>
    <col min="3" max="3" width="20.7265625" hidden="1" customWidth="1"/>
    <col min="4" max="4" width="15.90625" customWidth="1"/>
    <col min="5" max="16" width="12.7265625" customWidth="1"/>
  </cols>
  <sheetData>
    <row r="2" spans="1:16" x14ac:dyDescent="0.35">
      <c r="B2" s="8" t="s">
        <v>29</v>
      </c>
      <c r="C2" s="8" t="s">
        <v>46</v>
      </c>
      <c r="D2" s="16" t="s">
        <v>30</v>
      </c>
      <c r="E2" s="16" t="s">
        <v>31</v>
      </c>
      <c r="F2" s="16" t="s">
        <v>32</v>
      </c>
      <c r="G2" s="16" t="s">
        <v>33</v>
      </c>
      <c r="H2" s="16" t="s">
        <v>34</v>
      </c>
      <c r="I2" s="16" t="s">
        <v>35</v>
      </c>
      <c r="J2" s="16" t="s">
        <v>36</v>
      </c>
      <c r="K2" s="16" t="s">
        <v>37</v>
      </c>
      <c r="L2" s="16" t="s">
        <v>38</v>
      </c>
      <c r="M2" s="16" t="s">
        <v>39</v>
      </c>
      <c r="N2" s="16" t="s">
        <v>40</v>
      </c>
      <c r="O2" s="16" t="s">
        <v>41</v>
      </c>
      <c r="P2" s="49" t="s">
        <v>42</v>
      </c>
    </row>
    <row r="3" spans="1:16" x14ac:dyDescent="0.35">
      <c r="B3" s="9" t="s">
        <v>45</v>
      </c>
      <c r="C3" s="9" t="s">
        <v>94</v>
      </c>
      <c r="D3" s="10">
        <f>27*138</f>
        <v>3726</v>
      </c>
      <c r="E3" s="10">
        <f t="shared" ref="E3:O3" si="0">27*138</f>
        <v>3726</v>
      </c>
      <c r="F3" s="10">
        <f t="shared" si="0"/>
        <v>3726</v>
      </c>
      <c r="G3" s="10">
        <f t="shared" si="0"/>
        <v>3726</v>
      </c>
      <c r="H3" s="10">
        <f t="shared" si="0"/>
        <v>3726</v>
      </c>
      <c r="I3" s="10">
        <f t="shared" si="0"/>
        <v>3726</v>
      </c>
      <c r="J3" s="10">
        <f t="shared" si="0"/>
        <v>3726</v>
      </c>
      <c r="K3" s="10">
        <f t="shared" si="0"/>
        <v>3726</v>
      </c>
      <c r="L3" s="10">
        <f t="shared" si="0"/>
        <v>3726</v>
      </c>
      <c r="M3" s="10">
        <f t="shared" si="0"/>
        <v>3726</v>
      </c>
      <c r="N3" s="10">
        <f t="shared" si="0"/>
        <v>3726</v>
      </c>
      <c r="O3" s="10">
        <f t="shared" si="0"/>
        <v>3726</v>
      </c>
      <c r="P3" s="53">
        <f>SUM(D3:O3)</f>
        <v>44712</v>
      </c>
    </row>
    <row r="4" spans="1:16" x14ac:dyDescent="0.35">
      <c r="B4" s="12"/>
      <c r="C4" s="12" t="s">
        <v>88</v>
      </c>
      <c r="D4" s="13">
        <f>D3*0.9</f>
        <v>3353.4</v>
      </c>
      <c r="E4" s="13">
        <f t="shared" ref="E4:O4" si="1">E3*0.9</f>
        <v>3353.4</v>
      </c>
      <c r="F4" s="13">
        <f t="shared" si="1"/>
        <v>3353.4</v>
      </c>
      <c r="G4" s="13">
        <f t="shared" si="1"/>
        <v>3353.4</v>
      </c>
      <c r="H4" s="13">
        <f t="shared" si="1"/>
        <v>3353.4</v>
      </c>
      <c r="I4" s="13">
        <f t="shared" si="1"/>
        <v>3353.4</v>
      </c>
      <c r="J4" s="13">
        <f t="shared" si="1"/>
        <v>3353.4</v>
      </c>
      <c r="K4" s="13">
        <f t="shared" si="1"/>
        <v>3353.4</v>
      </c>
      <c r="L4" s="13">
        <f t="shared" si="1"/>
        <v>3353.4</v>
      </c>
      <c r="M4" s="13">
        <f t="shared" si="1"/>
        <v>3353.4</v>
      </c>
      <c r="N4" s="13">
        <f t="shared" si="1"/>
        <v>3353.4</v>
      </c>
      <c r="O4" s="13">
        <f t="shared" si="1"/>
        <v>3353.4</v>
      </c>
      <c r="P4" s="54">
        <f>SUM(D4:O4)</f>
        <v>40240.80000000001</v>
      </c>
    </row>
    <row r="5" spans="1:16" x14ac:dyDescent="0.35">
      <c r="B5" s="14" t="s">
        <v>101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55"/>
    </row>
    <row r="6" spans="1:16" x14ac:dyDescent="0.35">
      <c r="B6" t="s">
        <v>43</v>
      </c>
      <c r="C6" t="s">
        <v>8</v>
      </c>
      <c r="D6" s="11">
        <v>383</v>
      </c>
      <c r="E6" s="11">
        <v>383</v>
      </c>
      <c r="F6" s="11">
        <v>383</v>
      </c>
      <c r="G6" s="11">
        <v>383</v>
      </c>
      <c r="H6" s="11">
        <v>383</v>
      </c>
      <c r="I6" s="11">
        <v>383</v>
      </c>
      <c r="J6" s="11">
        <v>383</v>
      </c>
      <c r="K6" s="11">
        <v>383</v>
      </c>
      <c r="L6" s="11">
        <v>383</v>
      </c>
      <c r="M6" s="11">
        <v>383</v>
      </c>
      <c r="N6" s="11">
        <v>383</v>
      </c>
      <c r="O6" s="11">
        <v>383</v>
      </c>
      <c r="P6" s="55">
        <f t="shared" ref="P6:P9" si="2">SUM(D6:O6)</f>
        <v>4596</v>
      </c>
    </row>
    <row r="7" spans="1:16" x14ac:dyDescent="0.35">
      <c r="B7" t="s">
        <v>44</v>
      </c>
      <c r="C7" t="s">
        <v>44</v>
      </c>
      <c r="D7" s="11">
        <v>300</v>
      </c>
      <c r="E7" s="11">
        <v>300</v>
      </c>
      <c r="F7" s="11">
        <v>300</v>
      </c>
      <c r="G7" s="11">
        <v>300</v>
      </c>
      <c r="H7" s="11">
        <v>300</v>
      </c>
      <c r="I7" s="11">
        <v>300</v>
      </c>
      <c r="J7" s="11">
        <v>300</v>
      </c>
      <c r="K7" s="11">
        <v>300</v>
      </c>
      <c r="L7" s="11">
        <v>300</v>
      </c>
      <c r="M7" s="11">
        <v>300</v>
      </c>
      <c r="N7" s="11">
        <v>300</v>
      </c>
      <c r="O7" s="11">
        <v>300</v>
      </c>
      <c r="P7" s="55">
        <f t="shared" si="2"/>
        <v>3600</v>
      </c>
    </row>
    <row r="8" spans="1:16" x14ac:dyDescent="0.35">
      <c r="B8" s="58" t="s">
        <v>89</v>
      </c>
      <c r="C8" s="58" t="s">
        <v>99</v>
      </c>
      <c r="D8" s="59">
        <f>(D6*8)+D7</f>
        <v>3364</v>
      </c>
      <c r="E8" s="59">
        <f t="shared" ref="E8:O8" si="3">(E6*8)+E7</f>
        <v>3364</v>
      </c>
      <c r="F8" s="59">
        <f t="shared" si="3"/>
        <v>3364</v>
      </c>
      <c r="G8" s="59">
        <f t="shared" si="3"/>
        <v>3364</v>
      </c>
      <c r="H8" s="59">
        <f t="shared" si="3"/>
        <v>3364</v>
      </c>
      <c r="I8" s="59">
        <f t="shared" si="3"/>
        <v>3364</v>
      </c>
      <c r="J8" s="59">
        <f t="shared" si="3"/>
        <v>3364</v>
      </c>
      <c r="K8" s="59">
        <f t="shared" si="3"/>
        <v>3364</v>
      </c>
      <c r="L8" s="59">
        <f t="shared" si="3"/>
        <v>3364</v>
      </c>
      <c r="M8" s="59">
        <f t="shared" si="3"/>
        <v>3364</v>
      </c>
      <c r="N8" s="59">
        <f t="shared" si="3"/>
        <v>3364</v>
      </c>
      <c r="O8" s="59">
        <f t="shared" si="3"/>
        <v>3364</v>
      </c>
      <c r="P8" s="60">
        <f t="shared" si="2"/>
        <v>40368</v>
      </c>
    </row>
    <row r="9" spans="1:16" x14ac:dyDescent="0.35">
      <c r="B9" s="12" t="s">
        <v>100</v>
      </c>
      <c r="C9" s="12" t="s">
        <v>98</v>
      </c>
      <c r="D9" s="56">
        <f>D3</f>
        <v>3726</v>
      </c>
      <c r="E9" s="56">
        <f t="shared" ref="E9:O9" si="4">E3</f>
        <v>3726</v>
      </c>
      <c r="F9" s="56">
        <f t="shared" si="4"/>
        <v>3726</v>
      </c>
      <c r="G9" s="56">
        <f t="shared" si="4"/>
        <v>3726</v>
      </c>
      <c r="H9" s="56">
        <f t="shared" si="4"/>
        <v>3726</v>
      </c>
      <c r="I9" s="56">
        <f t="shared" si="4"/>
        <v>3726</v>
      </c>
      <c r="J9" s="56">
        <f t="shared" si="4"/>
        <v>3726</v>
      </c>
      <c r="K9" s="56">
        <f t="shared" si="4"/>
        <v>3726</v>
      </c>
      <c r="L9" s="56">
        <f t="shared" si="4"/>
        <v>3726</v>
      </c>
      <c r="M9" s="56">
        <f t="shared" si="4"/>
        <v>3726</v>
      </c>
      <c r="N9" s="56">
        <f t="shared" si="4"/>
        <v>3726</v>
      </c>
      <c r="O9" s="56">
        <f t="shared" si="4"/>
        <v>3726</v>
      </c>
      <c r="P9" s="57">
        <f t="shared" si="2"/>
        <v>44712</v>
      </c>
    </row>
    <row r="10" spans="1:16" x14ac:dyDescent="0.35">
      <c r="B10" t="s">
        <v>97</v>
      </c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28"/>
    </row>
    <row r="11" spans="1:16" x14ac:dyDescent="0.35">
      <c r="C11" s="14"/>
    </row>
    <row r="12" spans="1:16" x14ac:dyDescent="0.35">
      <c r="C12" s="14"/>
      <c r="D12" s="46">
        <f>L14</f>
        <v>8.6999999999999993</v>
      </c>
      <c r="E12" s="47">
        <f>L15</f>
        <v>11.11</v>
      </c>
      <c r="H12" s="8" t="s">
        <v>96</v>
      </c>
      <c r="I12" s="12"/>
      <c r="J12" s="12"/>
      <c r="K12" s="12"/>
      <c r="L12" s="12"/>
    </row>
    <row r="13" spans="1:16" x14ac:dyDescent="0.35">
      <c r="B13" s="8" t="s">
        <v>62</v>
      </c>
      <c r="C13" s="8" t="s">
        <v>46</v>
      </c>
      <c r="D13" s="49" t="s">
        <v>91</v>
      </c>
      <c r="E13" s="50" t="s">
        <v>92</v>
      </c>
      <c r="F13" s="51" t="s">
        <v>93</v>
      </c>
      <c r="H13" s="14" t="s">
        <v>46</v>
      </c>
      <c r="I13" s="62" t="s">
        <v>23</v>
      </c>
      <c r="J13" s="62" t="s">
        <v>1</v>
      </c>
      <c r="K13" s="62" t="s">
        <v>90</v>
      </c>
      <c r="L13" s="62" t="s">
        <v>95</v>
      </c>
    </row>
    <row r="14" spans="1:16" x14ac:dyDescent="0.35">
      <c r="A14" t="s">
        <v>2</v>
      </c>
      <c r="B14" t="s">
        <v>938</v>
      </c>
      <c r="C14" t="s">
        <v>48</v>
      </c>
      <c r="D14" s="43">
        <f>D$12*F14</f>
        <v>6.089999999999999</v>
      </c>
      <c r="E14" s="44">
        <f>E$12*F14</f>
        <v>7.7769999999999992</v>
      </c>
      <c r="F14" s="41">
        <v>0.7</v>
      </c>
      <c r="H14" t="s">
        <v>8</v>
      </c>
      <c r="I14" s="40">
        <f>40000/12</f>
        <v>3333.3333333333335</v>
      </c>
      <c r="J14" s="39">
        <f>D6</f>
        <v>383</v>
      </c>
      <c r="K14" s="40">
        <f>I14/J14</f>
        <v>8.7032201914708445</v>
      </c>
      <c r="L14" s="15">
        <f>ROUND(K14,2)</f>
        <v>8.6999999999999993</v>
      </c>
    </row>
    <row r="15" spans="1:16" x14ac:dyDescent="0.35">
      <c r="A15" t="s">
        <v>931</v>
      </c>
      <c r="B15" t="s">
        <v>3</v>
      </c>
      <c r="C15" t="s">
        <v>48</v>
      </c>
      <c r="D15" s="43">
        <f>D$12*F15</f>
        <v>7.8299999999999992</v>
      </c>
      <c r="E15" s="44">
        <f>E$12*F15</f>
        <v>9.9990000000000006</v>
      </c>
      <c r="F15" s="41">
        <v>0.9</v>
      </c>
      <c r="H15" t="s">
        <v>44</v>
      </c>
      <c r="I15" s="40">
        <f>40000/12</f>
        <v>3333.3333333333335</v>
      </c>
      <c r="J15" s="39">
        <f>D7</f>
        <v>300</v>
      </c>
      <c r="K15" s="40">
        <f>I15/J15</f>
        <v>11.111111111111112</v>
      </c>
      <c r="L15" s="15">
        <f>ROUND(K15,2)</f>
        <v>11.11</v>
      </c>
    </row>
    <row r="16" spans="1:16" x14ac:dyDescent="0.35">
      <c r="A16" t="s">
        <v>927</v>
      </c>
      <c r="B16" t="s">
        <v>4</v>
      </c>
      <c r="C16" t="s">
        <v>48</v>
      </c>
      <c r="D16" s="43">
        <f>D$12*F16</f>
        <v>9.57</v>
      </c>
      <c r="E16" s="44">
        <f>E$12*F16</f>
        <v>12.221</v>
      </c>
      <c r="F16" s="41">
        <v>1.1000000000000001</v>
      </c>
    </row>
    <row r="17" spans="1:8" x14ac:dyDescent="0.35">
      <c r="A17" t="s">
        <v>6</v>
      </c>
      <c r="B17" t="s">
        <v>939</v>
      </c>
      <c r="C17" t="s">
        <v>48</v>
      </c>
      <c r="D17" s="43">
        <f>D$12*F17</f>
        <v>12.179999999999998</v>
      </c>
      <c r="E17" s="44">
        <f>E$12*F17</f>
        <v>15.553999999999998</v>
      </c>
      <c r="F17" s="41">
        <v>1.4</v>
      </c>
    </row>
    <row r="18" spans="1:8" x14ac:dyDescent="0.35">
      <c r="B18" s="12"/>
      <c r="C18" s="12"/>
      <c r="D18" s="45"/>
      <c r="E18" s="48"/>
      <c r="F18" s="42"/>
    </row>
    <row r="19" spans="1:8" x14ac:dyDescent="0.35">
      <c r="B19" t="s">
        <v>103</v>
      </c>
    </row>
    <row r="20" spans="1:8" x14ac:dyDescent="0.35">
      <c r="B20" t="s">
        <v>923</v>
      </c>
    </row>
    <row r="21" spans="1:8" x14ac:dyDescent="0.35">
      <c r="D21" s="49" t="s">
        <v>91</v>
      </c>
      <c r="E21" s="50" t="s">
        <v>92</v>
      </c>
    </row>
    <row r="22" spans="1:8" x14ac:dyDescent="0.35">
      <c r="B22" s="12" t="s">
        <v>1512</v>
      </c>
      <c r="C22" s="12"/>
      <c r="D22" s="145">
        <v>1000</v>
      </c>
      <c r="E22" s="145">
        <v>1000</v>
      </c>
      <c r="F22" t="s">
        <v>1517</v>
      </c>
    </row>
    <row r="25" spans="1:8" x14ac:dyDescent="0.35">
      <c r="C25" s="18" t="s">
        <v>60</v>
      </c>
      <c r="D25" s="18"/>
      <c r="E25" s="27"/>
      <c r="F25" s="20" t="s">
        <v>57</v>
      </c>
      <c r="G25" s="19"/>
    </row>
    <row r="26" spans="1:8" x14ac:dyDescent="0.35">
      <c r="B26" s="8" t="s">
        <v>49</v>
      </c>
      <c r="C26" s="8" t="s">
        <v>45</v>
      </c>
      <c r="D26" s="8" t="s">
        <v>52</v>
      </c>
      <c r="E26" s="22" t="s">
        <v>63</v>
      </c>
      <c r="F26" s="23" t="s">
        <v>58</v>
      </c>
      <c r="G26" s="22" t="s">
        <v>59</v>
      </c>
    </row>
    <row r="27" spans="1:8" x14ac:dyDescent="0.35">
      <c r="B27" t="s">
        <v>8</v>
      </c>
      <c r="C27" t="s">
        <v>55</v>
      </c>
      <c r="D27" t="s">
        <v>53</v>
      </c>
      <c r="E27" s="21" t="s">
        <v>64</v>
      </c>
      <c r="F27" s="24" t="s">
        <v>50</v>
      </c>
      <c r="G27" s="21" t="s">
        <v>51</v>
      </c>
    </row>
    <row r="28" spans="1:8" x14ac:dyDescent="0.35">
      <c r="B28" t="s">
        <v>44</v>
      </c>
      <c r="C28" t="s">
        <v>55</v>
      </c>
      <c r="D28" t="s">
        <v>53</v>
      </c>
      <c r="E28" s="21" t="s">
        <v>64</v>
      </c>
      <c r="F28" s="24" t="s">
        <v>50</v>
      </c>
      <c r="G28" s="21" t="s">
        <v>51</v>
      </c>
    </row>
    <row r="29" spans="1:8" x14ac:dyDescent="0.35">
      <c r="B29" s="12" t="s">
        <v>54</v>
      </c>
      <c r="C29" s="12" t="s">
        <v>55</v>
      </c>
      <c r="D29" s="12" t="s">
        <v>61</v>
      </c>
      <c r="E29" s="25" t="s">
        <v>65</v>
      </c>
      <c r="F29" s="26" t="s">
        <v>50</v>
      </c>
      <c r="G29" s="25" t="s">
        <v>56</v>
      </c>
    </row>
    <row r="32" spans="1:8" x14ac:dyDescent="0.35">
      <c r="B32" s="8" t="s">
        <v>66</v>
      </c>
      <c r="C32" s="8"/>
      <c r="D32" s="8"/>
      <c r="E32" s="8"/>
      <c r="F32" s="8"/>
      <c r="G32" s="8"/>
      <c r="H32" s="8"/>
    </row>
    <row r="33" spans="2:5" x14ac:dyDescent="0.35">
      <c r="B33" t="s">
        <v>8</v>
      </c>
      <c r="C33" t="s">
        <v>67</v>
      </c>
    </row>
    <row r="34" spans="2:5" x14ac:dyDescent="0.35">
      <c r="B34" t="s">
        <v>44</v>
      </c>
      <c r="C34" t="s">
        <v>67</v>
      </c>
    </row>
    <row r="35" spans="2:5" x14ac:dyDescent="0.35">
      <c r="B35" t="s">
        <v>68</v>
      </c>
      <c r="C35" t="s">
        <v>69</v>
      </c>
    </row>
    <row r="39" spans="2:5" x14ac:dyDescent="0.35">
      <c r="B39" s="12" t="s">
        <v>932</v>
      </c>
      <c r="C39" s="12"/>
      <c r="D39" s="12"/>
      <c r="E39" s="12"/>
    </row>
    <row r="40" spans="2:5" x14ac:dyDescent="0.35">
      <c r="B40" t="str">
        <f>C40&amp;" "&amp;D40</f>
        <v>Access AE</v>
      </c>
      <c r="C40" t="s">
        <v>2</v>
      </c>
      <c r="D40" t="s">
        <v>8</v>
      </c>
      <c r="E40" s="15">
        <f>D14</f>
        <v>6.089999999999999</v>
      </c>
    </row>
    <row r="41" spans="2:5" x14ac:dyDescent="0.35">
      <c r="B41" t="str">
        <f t="shared" ref="B41:B47" si="5">C41&amp;" "&amp;D41</f>
        <v>Access Natl AE</v>
      </c>
      <c r="C41" t="s">
        <v>2</v>
      </c>
      <c r="D41" t="s">
        <v>44</v>
      </c>
      <c r="E41" s="15">
        <f>E14</f>
        <v>7.7769999999999992</v>
      </c>
    </row>
    <row r="42" spans="2:5" x14ac:dyDescent="0.35">
      <c r="B42" t="str">
        <f t="shared" si="5"/>
        <v>Shared AE</v>
      </c>
      <c r="C42" t="s">
        <v>931</v>
      </c>
      <c r="D42" t="s">
        <v>8</v>
      </c>
      <c r="E42" s="15">
        <f>D15</f>
        <v>7.8299999999999992</v>
      </c>
    </row>
    <row r="43" spans="2:5" x14ac:dyDescent="0.35">
      <c r="B43" t="str">
        <f t="shared" si="5"/>
        <v>Shared Natl AE</v>
      </c>
      <c r="C43" t="s">
        <v>931</v>
      </c>
      <c r="D43" t="s">
        <v>44</v>
      </c>
      <c r="E43" s="15">
        <f>E15</f>
        <v>9.9990000000000006</v>
      </c>
    </row>
    <row r="44" spans="2:5" x14ac:dyDescent="0.35">
      <c r="B44" t="str">
        <f t="shared" si="5"/>
        <v>Exclusive AE</v>
      </c>
      <c r="C44" t="s">
        <v>927</v>
      </c>
      <c r="D44" t="s">
        <v>8</v>
      </c>
      <c r="E44" s="15">
        <f>D16</f>
        <v>9.57</v>
      </c>
    </row>
    <row r="45" spans="2:5" x14ac:dyDescent="0.35">
      <c r="B45" t="str">
        <f t="shared" si="5"/>
        <v>Exclusive Natl AE</v>
      </c>
      <c r="C45" t="s">
        <v>927</v>
      </c>
      <c r="D45" t="s">
        <v>44</v>
      </c>
      <c r="E45" s="15">
        <f>E16</f>
        <v>12.221</v>
      </c>
    </row>
    <row r="46" spans="2:5" x14ac:dyDescent="0.35">
      <c r="B46" t="str">
        <f t="shared" si="5"/>
        <v>Bulk AE</v>
      </c>
      <c r="C46" t="s">
        <v>6</v>
      </c>
      <c r="D46" t="s">
        <v>8</v>
      </c>
      <c r="E46" s="15">
        <f>D17</f>
        <v>12.179999999999998</v>
      </c>
    </row>
    <row r="47" spans="2:5" x14ac:dyDescent="0.35">
      <c r="B47" t="str">
        <f t="shared" si="5"/>
        <v>Bulk Natl AE</v>
      </c>
      <c r="C47" t="s">
        <v>6</v>
      </c>
      <c r="D47" t="s">
        <v>44</v>
      </c>
      <c r="E47" s="15">
        <f>E17</f>
        <v>15.553999999999998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78B6-6001-402B-B1F1-68B10A0942BD}">
  <dimension ref="A1:L23"/>
  <sheetViews>
    <sheetView workbookViewId="0">
      <selection activeCell="B22" sqref="B22"/>
    </sheetView>
  </sheetViews>
  <sheetFormatPr defaultRowHeight="14.5" x14ac:dyDescent="0.35"/>
  <cols>
    <col min="1" max="9" width="18.54296875" customWidth="1"/>
  </cols>
  <sheetData>
    <row r="1" spans="1:12" x14ac:dyDescent="0.35">
      <c r="A1" t="s">
        <v>106</v>
      </c>
      <c r="B1" t="s">
        <v>1071</v>
      </c>
      <c r="C1" t="s">
        <v>1072</v>
      </c>
      <c r="D1" t="s">
        <v>1073</v>
      </c>
      <c r="E1" t="s">
        <v>108</v>
      </c>
      <c r="F1" t="s">
        <v>1074</v>
      </c>
      <c r="G1" t="s">
        <v>1075</v>
      </c>
      <c r="H1" t="s">
        <v>1076</v>
      </c>
      <c r="I1" t="s">
        <v>109</v>
      </c>
    </row>
    <row r="2" spans="1:12" x14ac:dyDescent="0.35">
      <c r="A2" t="s">
        <v>111</v>
      </c>
      <c r="B2" t="s">
        <v>1077</v>
      </c>
      <c r="C2" t="s">
        <v>1078</v>
      </c>
      <c r="D2" t="s">
        <v>112</v>
      </c>
      <c r="E2" t="s">
        <v>4</v>
      </c>
      <c r="F2" t="s">
        <v>1079</v>
      </c>
      <c r="G2" t="s">
        <v>113</v>
      </c>
      <c r="H2" s="144">
        <v>46058</v>
      </c>
      <c r="I2">
        <v>58</v>
      </c>
    </row>
    <row r="3" spans="1:12" x14ac:dyDescent="0.35">
      <c r="A3" t="s">
        <v>114</v>
      </c>
      <c r="B3" t="s">
        <v>1080</v>
      </c>
      <c r="C3" t="s">
        <v>1081</v>
      </c>
      <c r="D3" t="s">
        <v>115</v>
      </c>
      <c r="E3" t="s">
        <v>116</v>
      </c>
      <c r="F3" t="s">
        <v>1079</v>
      </c>
      <c r="G3" t="s">
        <v>113</v>
      </c>
      <c r="H3" s="144">
        <v>46063</v>
      </c>
      <c r="I3">
        <v>188</v>
      </c>
    </row>
    <row r="4" spans="1:12" x14ac:dyDescent="0.35">
      <c r="A4" t="s">
        <v>114</v>
      </c>
      <c r="B4" t="s">
        <v>1082</v>
      </c>
      <c r="C4" t="s">
        <v>1083</v>
      </c>
      <c r="D4" t="s">
        <v>1084</v>
      </c>
      <c r="E4" t="s">
        <v>4</v>
      </c>
      <c r="F4" t="s">
        <v>1079</v>
      </c>
      <c r="G4" t="s">
        <v>113</v>
      </c>
      <c r="H4" s="144">
        <v>46070</v>
      </c>
      <c r="I4">
        <v>116</v>
      </c>
    </row>
    <row r="5" spans="1:12" x14ac:dyDescent="0.35">
      <c r="A5" t="s">
        <v>117</v>
      </c>
      <c r="B5" t="s">
        <v>1085</v>
      </c>
      <c r="C5" t="s">
        <v>1086</v>
      </c>
      <c r="D5" t="s">
        <v>1087</v>
      </c>
      <c r="E5" t="s">
        <v>4</v>
      </c>
      <c r="F5" t="s">
        <v>1079</v>
      </c>
      <c r="G5" t="s">
        <v>113</v>
      </c>
      <c r="H5" s="144">
        <v>46071</v>
      </c>
      <c r="I5">
        <v>74</v>
      </c>
    </row>
    <row r="6" spans="1:12" x14ac:dyDescent="0.35">
      <c r="A6" t="s">
        <v>117</v>
      </c>
      <c r="B6" t="s">
        <v>1088</v>
      </c>
      <c r="C6" t="s">
        <v>1089</v>
      </c>
      <c r="D6" t="s">
        <v>118</v>
      </c>
      <c r="E6" t="s">
        <v>119</v>
      </c>
      <c r="F6" t="s">
        <v>1079</v>
      </c>
      <c r="G6" t="s">
        <v>113</v>
      </c>
      <c r="H6" s="144">
        <v>46064</v>
      </c>
      <c r="I6">
        <v>36</v>
      </c>
    </row>
    <row r="7" spans="1:12" x14ac:dyDescent="0.35">
      <c r="A7" t="s">
        <v>120</v>
      </c>
      <c r="B7" t="s">
        <v>1090</v>
      </c>
      <c r="C7" t="s">
        <v>1091</v>
      </c>
      <c r="D7" t="s">
        <v>123</v>
      </c>
      <c r="E7" t="s">
        <v>4</v>
      </c>
      <c r="F7" t="s">
        <v>1079</v>
      </c>
      <c r="G7" t="s">
        <v>113</v>
      </c>
      <c r="H7" s="144">
        <v>46058</v>
      </c>
      <c r="I7">
        <v>119</v>
      </c>
    </row>
    <row r="8" spans="1:12" x14ac:dyDescent="0.35">
      <c r="A8" t="s">
        <v>120</v>
      </c>
      <c r="B8" t="s">
        <v>1092</v>
      </c>
      <c r="C8" t="s">
        <v>1093</v>
      </c>
      <c r="D8" t="s">
        <v>124</v>
      </c>
      <c r="E8" t="s">
        <v>4</v>
      </c>
      <c r="F8" t="s">
        <v>1079</v>
      </c>
      <c r="G8" t="s">
        <v>113</v>
      </c>
      <c r="H8" s="144">
        <v>46055</v>
      </c>
      <c r="I8">
        <v>277</v>
      </c>
    </row>
    <row r="9" spans="1:12" x14ac:dyDescent="0.35">
      <c r="A9" t="s">
        <v>125</v>
      </c>
      <c r="B9" t="s">
        <v>1094</v>
      </c>
      <c r="C9" t="s">
        <v>1095</v>
      </c>
      <c r="D9" t="s">
        <v>127</v>
      </c>
      <c r="E9" t="s">
        <v>4</v>
      </c>
      <c r="F9" t="s">
        <v>1079</v>
      </c>
      <c r="G9" t="s">
        <v>113</v>
      </c>
      <c r="H9" s="144">
        <v>46058</v>
      </c>
      <c r="I9">
        <v>76</v>
      </c>
    </row>
    <row r="10" spans="1:12" x14ac:dyDescent="0.35">
      <c r="A10" t="s">
        <v>125</v>
      </c>
      <c r="B10" t="s">
        <v>1096</v>
      </c>
      <c r="C10" t="s">
        <v>1097</v>
      </c>
      <c r="D10" t="s">
        <v>129</v>
      </c>
      <c r="E10" t="s">
        <v>4</v>
      </c>
      <c r="F10" t="s">
        <v>1079</v>
      </c>
      <c r="G10" t="s">
        <v>113</v>
      </c>
      <c r="H10" s="144">
        <v>46058</v>
      </c>
      <c r="I10">
        <v>53</v>
      </c>
    </row>
    <row r="11" spans="1:12" x14ac:dyDescent="0.35">
      <c r="A11" t="s">
        <v>125</v>
      </c>
      <c r="B11" t="s">
        <v>1098</v>
      </c>
      <c r="C11" t="s">
        <v>1099</v>
      </c>
      <c r="D11" t="s">
        <v>126</v>
      </c>
      <c r="E11" t="s">
        <v>4</v>
      </c>
      <c r="F11" t="s">
        <v>1079</v>
      </c>
      <c r="G11" t="s">
        <v>113</v>
      </c>
      <c r="H11" s="144">
        <v>46058</v>
      </c>
      <c r="I11">
        <v>58</v>
      </c>
    </row>
    <row r="15" spans="1:12" x14ac:dyDescent="0.35">
      <c r="A15" t="s">
        <v>1504</v>
      </c>
      <c r="D15" s="74"/>
      <c r="H15" s="74"/>
      <c r="I15" s="74"/>
      <c r="L15" s="74"/>
    </row>
    <row r="16" spans="1:12" x14ac:dyDescent="0.35">
      <c r="A16" t="s">
        <v>1505</v>
      </c>
    </row>
    <row r="17" spans="1:9" x14ac:dyDescent="0.35">
      <c r="A17" t="s">
        <v>1506</v>
      </c>
    </row>
    <row r="19" spans="1:9" x14ac:dyDescent="0.35">
      <c r="A19" s="74"/>
      <c r="B19" s="74"/>
      <c r="C19" s="74"/>
      <c r="D19" s="74"/>
      <c r="E19" s="74"/>
      <c r="F19" s="74"/>
      <c r="G19" s="74"/>
      <c r="H19" s="74"/>
      <c r="I19" s="74"/>
    </row>
    <row r="21" spans="1:9" x14ac:dyDescent="0.35">
      <c r="B21" t="s">
        <v>1509</v>
      </c>
    </row>
    <row r="22" spans="1:9" x14ac:dyDescent="0.35">
      <c r="B22" t="s">
        <v>1510</v>
      </c>
    </row>
    <row r="23" spans="1:9" x14ac:dyDescent="0.35">
      <c r="B23" t="s">
        <v>1511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57CB7-7BB9-42A8-B71C-59B4B3A39AAE}">
  <dimension ref="A1:V46"/>
  <sheetViews>
    <sheetView topLeftCell="A17" workbookViewId="0">
      <selection activeCell="B17" sqref="B17:B25"/>
    </sheetView>
  </sheetViews>
  <sheetFormatPr defaultRowHeight="14.5" x14ac:dyDescent="0.35"/>
  <cols>
    <col min="2" max="2" width="17.453125" customWidth="1"/>
    <col min="3" max="3" width="11.1796875" customWidth="1"/>
    <col min="4" max="4" width="17.453125" customWidth="1"/>
    <col min="5" max="7" width="15.81640625" customWidth="1"/>
    <col min="8" max="8" width="17.08984375" customWidth="1"/>
    <col min="9" max="9" width="10.81640625" customWidth="1"/>
    <col min="10" max="17" width="10.26953125" customWidth="1"/>
    <col min="18" max="18" width="11.6328125" customWidth="1"/>
  </cols>
  <sheetData>
    <row r="1" spans="2:22" ht="43.5" x14ac:dyDescent="0.35">
      <c r="B1" s="74" t="s">
        <v>106</v>
      </c>
      <c r="C1" s="74" t="s">
        <v>107</v>
      </c>
      <c r="D1" s="74" t="s">
        <v>108</v>
      </c>
      <c r="E1" s="74" t="s">
        <v>937</v>
      </c>
      <c r="F1" s="74" t="s">
        <v>109</v>
      </c>
      <c r="H1" s="74"/>
      <c r="I1" s="74"/>
      <c r="J1" s="74"/>
      <c r="K1" s="74"/>
      <c r="L1" s="74"/>
      <c r="M1" s="74"/>
      <c r="N1" s="74"/>
      <c r="O1" s="74"/>
    </row>
    <row r="2" spans="2:22" x14ac:dyDescent="0.35">
      <c r="B2" t="s">
        <v>111</v>
      </c>
      <c r="C2" t="s">
        <v>112</v>
      </c>
      <c r="D2" t="s">
        <v>4</v>
      </c>
      <c r="E2" t="str">
        <f t="shared" ref="E2:E12" si="0">VLOOKUP(D2,AgreeMap,2,FALSE)</f>
        <v>Exclusive</v>
      </c>
      <c r="F2" s="61">
        <v>58</v>
      </c>
    </row>
    <row r="3" spans="2:22" x14ac:dyDescent="0.35">
      <c r="B3" t="s">
        <v>114</v>
      </c>
      <c r="C3" t="s">
        <v>115</v>
      </c>
      <c r="D3" t="s">
        <v>116</v>
      </c>
      <c r="E3" t="str">
        <f t="shared" si="0"/>
        <v>Access</v>
      </c>
      <c r="F3" s="61">
        <v>188</v>
      </c>
      <c r="Q3" s="106" t="s">
        <v>936</v>
      </c>
      <c r="R3" t="s">
        <v>2</v>
      </c>
    </row>
    <row r="4" spans="2:22" x14ac:dyDescent="0.35">
      <c r="B4" t="s">
        <v>117</v>
      </c>
      <c r="C4" t="s">
        <v>118</v>
      </c>
      <c r="D4" s="106" t="s">
        <v>119</v>
      </c>
      <c r="E4" t="str">
        <f t="shared" si="0"/>
        <v>Exclusive</v>
      </c>
      <c r="F4" s="61">
        <v>36</v>
      </c>
      <c r="Q4" s="106" t="s">
        <v>116</v>
      </c>
      <c r="R4" t="s">
        <v>2</v>
      </c>
    </row>
    <row r="5" spans="2:22" x14ac:dyDescent="0.35">
      <c r="B5" t="s">
        <v>120</v>
      </c>
      <c r="C5" t="s">
        <v>121</v>
      </c>
      <c r="D5" t="s">
        <v>4</v>
      </c>
      <c r="E5" t="str">
        <f t="shared" si="0"/>
        <v>Exclusive</v>
      </c>
      <c r="F5" s="61">
        <v>119</v>
      </c>
      <c r="Q5" s="106" t="s">
        <v>6</v>
      </c>
      <c r="R5" t="s">
        <v>6</v>
      </c>
    </row>
    <row r="6" spans="2:22" ht="29" x14ac:dyDescent="0.35">
      <c r="B6" t="s">
        <v>120</v>
      </c>
      <c r="C6" t="s">
        <v>122</v>
      </c>
      <c r="D6" t="s">
        <v>4</v>
      </c>
      <c r="E6" t="str">
        <f t="shared" si="0"/>
        <v>Exclusive</v>
      </c>
      <c r="F6" s="61">
        <v>49</v>
      </c>
      <c r="Q6" s="106" t="s">
        <v>119</v>
      </c>
      <c r="R6" t="s">
        <v>927</v>
      </c>
    </row>
    <row r="7" spans="2:22" ht="29" x14ac:dyDescent="0.35">
      <c r="B7" t="s">
        <v>120</v>
      </c>
      <c r="C7" t="s">
        <v>123</v>
      </c>
      <c r="D7" t="s">
        <v>4</v>
      </c>
      <c r="E7" t="str">
        <f t="shared" si="0"/>
        <v>Exclusive</v>
      </c>
      <c r="F7" s="61">
        <v>119</v>
      </c>
      <c r="Q7" s="106" t="s">
        <v>3</v>
      </c>
      <c r="R7" t="s">
        <v>931</v>
      </c>
    </row>
    <row r="8" spans="2:22" x14ac:dyDescent="0.35">
      <c r="B8" t="s">
        <v>120</v>
      </c>
      <c r="C8" t="s">
        <v>124</v>
      </c>
      <c r="D8" t="s">
        <v>4</v>
      </c>
      <c r="E8" t="str">
        <f t="shared" si="0"/>
        <v>Exclusive</v>
      </c>
      <c r="F8" s="61">
        <v>277</v>
      </c>
      <c r="Q8" t="s">
        <v>4</v>
      </c>
      <c r="R8" t="s">
        <v>927</v>
      </c>
    </row>
    <row r="9" spans="2:22" x14ac:dyDescent="0.35">
      <c r="B9" t="s">
        <v>125</v>
      </c>
      <c r="C9" t="s">
        <v>126</v>
      </c>
      <c r="D9" t="s">
        <v>4</v>
      </c>
      <c r="E9" t="str">
        <f t="shared" si="0"/>
        <v>Exclusive</v>
      </c>
      <c r="F9" s="61">
        <v>58</v>
      </c>
    </row>
    <row r="10" spans="2:22" x14ac:dyDescent="0.35">
      <c r="B10" t="s">
        <v>125</v>
      </c>
      <c r="C10" t="s">
        <v>127</v>
      </c>
      <c r="D10" t="s">
        <v>4</v>
      </c>
      <c r="E10" t="str">
        <f t="shared" si="0"/>
        <v>Exclusive</v>
      </c>
      <c r="F10" s="61">
        <v>76</v>
      </c>
    </row>
    <row r="11" spans="2:22" x14ac:dyDescent="0.35">
      <c r="B11" t="s">
        <v>125</v>
      </c>
      <c r="C11" t="s">
        <v>128</v>
      </c>
      <c r="D11" t="s">
        <v>4</v>
      </c>
      <c r="E11" t="str">
        <f t="shared" si="0"/>
        <v>Exclusive</v>
      </c>
      <c r="F11" s="61">
        <v>124</v>
      </c>
    </row>
    <row r="12" spans="2:22" x14ac:dyDescent="0.35">
      <c r="B12" t="s">
        <v>125</v>
      </c>
      <c r="C12" t="s">
        <v>129</v>
      </c>
      <c r="D12" t="s">
        <v>4</v>
      </c>
      <c r="E12" t="str">
        <f t="shared" si="0"/>
        <v>Exclusive</v>
      </c>
      <c r="F12" s="61">
        <v>53</v>
      </c>
    </row>
    <row r="13" spans="2:22" x14ac:dyDescent="0.35">
      <c r="B13" s="52"/>
      <c r="C13" s="52"/>
      <c r="D13" s="52"/>
      <c r="F13" s="92">
        <f>SUM(F2:F12)</f>
        <v>1157</v>
      </c>
    </row>
    <row r="14" spans="2:22" x14ac:dyDescent="0.35">
      <c r="E14" s="11"/>
    </row>
    <row r="15" spans="2:22" x14ac:dyDescent="0.35">
      <c r="J15" s="110" t="s">
        <v>989</v>
      </c>
      <c r="K15" s="110"/>
      <c r="L15" s="110"/>
      <c r="M15" s="110"/>
      <c r="N15" s="111" t="s">
        <v>991</v>
      </c>
      <c r="O15" s="110"/>
      <c r="P15" s="110"/>
      <c r="Q15" s="110"/>
      <c r="R15" s="68"/>
    </row>
    <row r="16" spans="2:22" x14ac:dyDescent="0.35">
      <c r="B16" s="63" t="s">
        <v>106</v>
      </c>
      <c r="C16" s="8" t="s">
        <v>46</v>
      </c>
      <c r="D16" s="109" t="s">
        <v>990</v>
      </c>
      <c r="E16" s="109" t="s">
        <v>924</v>
      </c>
      <c r="F16" s="109" t="s">
        <v>926</v>
      </c>
      <c r="G16" s="109" t="s">
        <v>929</v>
      </c>
      <c r="H16" s="109" t="s">
        <v>930</v>
      </c>
      <c r="J16" s="116" t="s">
        <v>2</v>
      </c>
      <c r="K16" s="116" t="s">
        <v>927</v>
      </c>
      <c r="L16" s="116" t="s">
        <v>931</v>
      </c>
      <c r="M16" s="116" t="s">
        <v>6</v>
      </c>
      <c r="N16" s="117" t="s">
        <v>2</v>
      </c>
      <c r="O16" s="116" t="s">
        <v>927</v>
      </c>
      <c r="P16" s="116" t="s">
        <v>931</v>
      </c>
      <c r="Q16" s="116" t="s">
        <v>6</v>
      </c>
      <c r="R16" s="23" t="s">
        <v>23</v>
      </c>
      <c r="S16" s="109" t="s">
        <v>928</v>
      </c>
      <c r="V16" s="8" t="s">
        <v>988</v>
      </c>
    </row>
    <row r="17" spans="1:22" x14ac:dyDescent="0.35">
      <c r="B17" s="106" t="s">
        <v>940</v>
      </c>
      <c r="C17" t="s">
        <v>8</v>
      </c>
      <c r="D17" s="61">
        <f>SUMIF($B$31:$B$45,$B17,$E$31:$E$45)</f>
        <v>0</v>
      </c>
      <c r="E17" s="61">
        <f t="shared" ref="E17:E25" si="1">SUMIF($B$31:$B$45,$B17,$F$31:$F$45)</f>
        <v>0</v>
      </c>
      <c r="F17" s="40">
        <f t="shared" ref="F17:F25" si="2">MIN(3*R17,SUMIF($B$31:$B$45,$B17,$H$31:$H$45))</f>
        <v>0</v>
      </c>
      <c r="G17" s="61">
        <f>'AE Model'!$J$14</f>
        <v>383</v>
      </c>
      <c r="H17" s="89">
        <f t="shared" ref="H17:H26" si="3">E17/G17</f>
        <v>0</v>
      </c>
      <c r="J17" s="61">
        <f>SUMIFS($E$31:$E$45,$D$31:$D$45,J$16,$B$31:$B$45,$B17)</f>
        <v>0</v>
      </c>
      <c r="K17" s="61">
        <f>SUMIFS($E$31:$E$45,$D$31:$D$45,K$16,$B$31:$B$45,$B17)</f>
        <v>0</v>
      </c>
      <c r="L17" s="61">
        <f>SUMIFS($E$31:$E$45,$D$31:$D$45,L$16,$B$31:$B$45,$B17)</f>
        <v>0</v>
      </c>
      <c r="M17" s="61">
        <f>SUMIFS($E$31:$E$45,$D$31:$D$45,M$16,$B$31:$B$45,$B17)</f>
        <v>0</v>
      </c>
      <c r="N17" s="112" t="str">
        <f t="shared" ref="N17:N20" si="4">IFERROR(J17/$D17,"")</f>
        <v/>
      </c>
      <c r="O17" s="41" t="str">
        <f t="shared" ref="O17:O20" si="5">IFERROR(K17/$D17,"")</f>
        <v/>
      </c>
      <c r="P17" s="41" t="str">
        <f t="shared" ref="P17:P20" si="6">IFERROR(L17/$D17,"")</f>
        <v/>
      </c>
      <c r="Q17" s="113" t="str">
        <f t="shared" ref="Q17:Q20" si="7">IFERROR(M17/$D17,"")</f>
        <v/>
      </c>
      <c r="R17" s="15">
        <f>'AE Model'!$I$14</f>
        <v>3333.3333333333335</v>
      </c>
      <c r="S17" s="89">
        <f t="shared" ref="S17:S25" si="8">F17/R17</f>
        <v>0</v>
      </c>
      <c r="V17" s="107" t="str">
        <f t="shared" ref="V17:V25" si="9">"Units Attain "&amp;TEXT(H17,"0%")&amp;" | % Exclusive "&amp;TEXT(O17,"0%")&amp;" | % to TSI "&amp;TEXT(S17,"0%")</f>
        <v>Units Attain 0% | % Exclusive  | % to TSI 0%</v>
      </c>
    </row>
    <row r="18" spans="1:22" x14ac:dyDescent="0.35">
      <c r="B18" s="106" t="s">
        <v>941</v>
      </c>
      <c r="C18" t="s">
        <v>8</v>
      </c>
      <c r="D18" s="61">
        <f t="shared" ref="D18:D25" si="10">SUMIF($B$31:$B$45,$B18,$E$31:$E$45)</f>
        <v>0</v>
      </c>
      <c r="E18" s="61">
        <f t="shared" si="1"/>
        <v>0</v>
      </c>
      <c r="F18" s="40">
        <f t="shared" si="2"/>
        <v>0</v>
      </c>
      <c r="G18" s="61">
        <f>'AE Model'!$J$14</f>
        <v>383</v>
      </c>
      <c r="H18" s="89">
        <f t="shared" si="3"/>
        <v>0</v>
      </c>
      <c r="J18" s="61">
        <f t="shared" ref="J18:M25" si="11">SUMIFS($E$31:$E$45,$D$31:$D$45,J$16,$B$31:$B$45,$B18)</f>
        <v>0</v>
      </c>
      <c r="K18" s="61">
        <f t="shared" si="11"/>
        <v>0</v>
      </c>
      <c r="L18" s="61">
        <f t="shared" si="11"/>
        <v>0</v>
      </c>
      <c r="M18" s="61">
        <f t="shared" si="11"/>
        <v>0</v>
      </c>
      <c r="N18" s="112" t="str">
        <f t="shared" si="4"/>
        <v/>
      </c>
      <c r="O18" s="41" t="str">
        <f t="shared" si="5"/>
        <v/>
      </c>
      <c r="P18" s="41" t="str">
        <f t="shared" si="6"/>
        <v/>
      </c>
      <c r="Q18" s="113" t="str">
        <f t="shared" si="7"/>
        <v/>
      </c>
      <c r="R18" s="15">
        <f>'AE Model'!$I$14</f>
        <v>3333.3333333333335</v>
      </c>
      <c r="S18" s="89">
        <f t="shared" si="8"/>
        <v>0</v>
      </c>
      <c r="V18" s="107" t="str">
        <f t="shared" si="9"/>
        <v>Units Attain 0% | % Exclusive  | % to TSI 0%</v>
      </c>
    </row>
    <row r="19" spans="1:22" x14ac:dyDescent="0.35">
      <c r="B19" s="106" t="s">
        <v>942</v>
      </c>
      <c r="C19" t="s">
        <v>8</v>
      </c>
      <c r="D19" s="61">
        <f t="shared" si="10"/>
        <v>0</v>
      </c>
      <c r="E19" s="61">
        <f t="shared" si="1"/>
        <v>0</v>
      </c>
      <c r="F19" s="40">
        <f t="shared" si="2"/>
        <v>0</v>
      </c>
      <c r="G19" s="61">
        <f>'AE Model'!$J$14</f>
        <v>383</v>
      </c>
      <c r="H19" s="89">
        <f t="shared" si="3"/>
        <v>0</v>
      </c>
      <c r="J19" s="61">
        <f t="shared" si="11"/>
        <v>0</v>
      </c>
      <c r="K19" s="61">
        <f t="shared" si="11"/>
        <v>0</v>
      </c>
      <c r="L19" s="61">
        <f t="shared" si="11"/>
        <v>0</v>
      </c>
      <c r="M19" s="61">
        <f t="shared" si="11"/>
        <v>0</v>
      </c>
      <c r="N19" s="112" t="str">
        <f t="shared" si="4"/>
        <v/>
      </c>
      <c r="O19" s="41" t="str">
        <f t="shared" si="5"/>
        <v/>
      </c>
      <c r="P19" s="41" t="str">
        <f t="shared" si="6"/>
        <v/>
      </c>
      <c r="Q19" s="113" t="str">
        <f t="shared" si="7"/>
        <v/>
      </c>
      <c r="R19" s="15">
        <f>'AE Model'!$I$14</f>
        <v>3333.3333333333335</v>
      </c>
      <c r="S19" s="89">
        <f t="shared" si="8"/>
        <v>0</v>
      </c>
      <c r="V19" s="107" t="str">
        <f t="shared" si="9"/>
        <v>Units Attain 0% | % Exclusive  | % to TSI 0%</v>
      </c>
    </row>
    <row r="20" spans="1:22" x14ac:dyDescent="0.35">
      <c r="B20" t="s">
        <v>111</v>
      </c>
      <c r="C20" t="s">
        <v>8</v>
      </c>
      <c r="D20" s="61">
        <f t="shared" si="10"/>
        <v>1</v>
      </c>
      <c r="E20" s="61">
        <f t="shared" si="1"/>
        <v>58</v>
      </c>
      <c r="F20" s="40">
        <f t="shared" si="2"/>
        <v>555.06000000000006</v>
      </c>
      <c r="G20" s="61">
        <f>'AE Model'!$J$14</f>
        <v>383</v>
      </c>
      <c r="H20" s="89">
        <f t="shared" si="3"/>
        <v>0.1514360313315927</v>
      </c>
      <c r="J20" s="61">
        <f t="shared" si="11"/>
        <v>0</v>
      </c>
      <c r="K20" s="61">
        <f t="shared" si="11"/>
        <v>1</v>
      </c>
      <c r="L20" s="61">
        <f t="shared" si="11"/>
        <v>0</v>
      </c>
      <c r="M20" s="61">
        <f t="shared" si="11"/>
        <v>0</v>
      </c>
      <c r="N20" s="112">
        <f t="shared" si="4"/>
        <v>0</v>
      </c>
      <c r="O20" s="41">
        <f t="shared" si="5"/>
        <v>1</v>
      </c>
      <c r="P20" s="41">
        <f t="shared" si="6"/>
        <v>0</v>
      </c>
      <c r="Q20" s="113">
        <f t="shared" si="7"/>
        <v>0</v>
      </c>
      <c r="R20" s="15">
        <f>'AE Model'!$I$14</f>
        <v>3333.3333333333335</v>
      </c>
      <c r="S20" s="89">
        <f t="shared" si="8"/>
        <v>0.166518</v>
      </c>
      <c r="V20" t="str">
        <f t="shared" si="9"/>
        <v>Units Attain 15% | % Exclusive 100% | % to TSI 17%</v>
      </c>
    </row>
    <row r="21" spans="1:22" x14ac:dyDescent="0.35">
      <c r="B21" t="s">
        <v>114</v>
      </c>
      <c r="C21" t="s">
        <v>8</v>
      </c>
      <c r="D21" s="61">
        <f t="shared" si="10"/>
        <v>1</v>
      </c>
      <c r="E21" s="61">
        <f t="shared" si="1"/>
        <v>188</v>
      </c>
      <c r="F21" s="40">
        <f t="shared" si="2"/>
        <v>1144.9199999999998</v>
      </c>
      <c r="G21" s="61">
        <f>'AE Model'!$J$14</f>
        <v>383</v>
      </c>
      <c r="H21" s="89">
        <f t="shared" si="3"/>
        <v>0.49086161879895562</v>
      </c>
      <c r="J21" s="61">
        <f t="shared" si="11"/>
        <v>1</v>
      </c>
      <c r="K21" s="61">
        <f t="shared" si="11"/>
        <v>0</v>
      </c>
      <c r="L21" s="61">
        <f t="shared" si="11"/>
        <v>0</v>
      </c>
      <c r="M21" s="61">
        <f t="shared" si="11"/>
        <v>0</v>
      </c>
      <c r="N21" s="112">
        <f t="shared" ref="N21" si="12">IFERROR(J21/$D21,"")</f>
        <v>1</v>
      </c>
      <c r="O21" s="41">
        <f t="shared" ref="O21:Q26" si="13">IFERROR(K21/$D21,"")</f>
        <v>0</v>
      </c>
      <c r="P21" s="41">
        <f t="shared" si="13"/>
        <v>0</v>
      </c>
      <c r="Q21" s="113">
        <f t="shared" si="13"/>
        <v>0</v>
      </c>
      <c r="R21" s="15">
        <f>'AE Model'!$I$14</f>
        <v>3333.3333333333335</v>
      </c>
      <c r="S21" s="89">
        <f t="shared" si="8"/>
        <v>0.34347599999999995</v>
      </c>
      <c r="V21" t="str">
        <f t="shared" si="9"/>
        <v>Units Attain 49% | % Exclusive 0% | % to TSI 34%</v>
      </c>
    </row>
    <row r="22" spans="1:22" x14ac:dyDescent="0.35">
      <c r="B22" t="s">
        <v>117</v>
      </c>
      <c r="C22" t="s">
        <v>8</v>
      </c>
      <c r="D22" s="61">
        <f t="shared" si="10"/>
        <v>1</v>
      </c>
      <c r="E22" s="61">
        <f t="shared" si="1"/>
        <v>36</v>
      </c>
      <c r="F22" s="40">
        <f t="shared" si="2"/>
        <v>344.52</v>
      </c>
      <c r="G22" s="61">
        <f>'AE Model'!$J$14</f>
        <v>383</v>
      </c>
      <c r="H22" s="89">
        <f t="shared" si="3"/>
        <v>9.3994778067885115E-2</v>
      </c>
      <c r="J22" s="61">
        <f t="shared" si="11"/>
        <v>0</v>
      </c>
      <c r="K22" s="61">
        <f t="shared" si="11"/>
        <v>1</v>
      </c>
      <c r="L22" s="61">
        <f t="shared" si="11"/>
        <v>0</v>
      </c>
      <c r="M22" s="61">
        <f t="shared" si="11"/>
        <v>0</v>
      </c>
      <c r="N22" s="112">
        <f t="shared" ref="N22:N25" si="14">IFERROR(J22/$D22,"")</f>
        <v>0</v>
      </c>
      <c r="O22" s="41">
        <f t="shared" ref="O22:O25" si="15">IFERROR(K22/$D22,"")</f>
        <v>1</v>
      </c>
      <c r="P22" s="41">
        <f t="shared" ref="P22:P25" si="16">IFERROR(L22/$D22,"")</f>
        <v>0</v>
      </c>
      <c r="Q22" s="113">
        <f t="shared" ref="Q22:Q25" si="17">IFERROR(M22/$D22,"")</f>
        <v>0</v>
      </c>
      <c r="R22" s="15">
        <f>'AE Model'!$I$14</f>
        <v>3333.3333333333335</v>
      </c>
      <c r="S22" s="89">
        <f t="shared" si="8"/>
        <v>0.10335599999999999</v>
      </c>
      <c r="V22" t="str">
        <f t="shared" si="9"/>
        <v>Units Attain 9% | % Exclusive 100% | % to TSI 10%</v>
      </c>
    </row>
    <row r="23" spans="1:22" x14ac:dyDescent="0.35">
      <c r="B23" s="106" t="s">
        <v>943</v>
      </c>
      <c r="C23" t="s">
        <v>8</v>
      </c>
      <c r="D23" s="61">
        <f t="shared" si="10"/>
        <v>0</v>
      </c>
      <c r="E23" s="61">
        <f t="shared" si="1"/>
        <v>0</v>
      </c>
      <c r="F23" s="40">
        <f t="shared" si="2"/>
        <v>0</v>
      </c>
      <c r="G23" s="61">
        <f>'AE Model'!$J$14</f>
        <v>383</v>
      </c>
      <c r="H23" s="89">
        <f t="shared" si="3"/>
        <v>0</v>
      </c>
      <c r="J23" s="61">
        <f t="shared" si="11"/>
        <v>0</v>
      </c>
      <c r="K23" s="61">
        <f t="shared" si="11"/>
        <v>0</v>
      </c>
      <c r="L23" s="61">
        <f t="shared" si="11"/>
        <v>0</v>
      </c>
      <c r="M23" s="61">
        <f t="shared" si="11"/>
        <v>0</v>
      </c>
      <c r="N23" s="112" t="str">
        <f t="shared" si="14"/>
        <v/>
      </c>
      <c r="O23" s="41" t="str">
        <f t="shared" si="15"/>
        <v/>
      </c>
      <c r="P23" s="41" t="str">
        <f t="shared" si="16"/>
        <v/>
      </c>
      <c r="Q23" s="113" t="str">
        <f t="shared" si="17"/>
        <v/>
      </c>
      <c r="R23" s="15">
        <f>'AE Model'!$I$14</f>
        <v>3333.3333333333335</v>
      </c>
      <c r="S23" s="89">
        <f t="shared" si="8"/>
        <v>0</v>
      </c>
      <c r="V23" s="107" t="str">
        <f t="shared" si="9"/>
        <v>Units Attain 0% | % Exclusive  | % to TSI 0%</v>
      </c>
    </row>
    <row r="24" spans="1:22" x14ac:dyDescent="0.35">
      <c r="B24" t="s">
        <v>125</v>
      </c>
      <c r="C24" t="s">
        <v>8</v>
      </c>
      <c r="D24" s="61">
        <f t="shared" si="10"/>
        <v>4</v>
      </c>
      <c r="E24" s="61">
        <f t="shared" si="1"/>
        <v>311</v>
      </c>
      <c r="F24" s="40">
        <f t="shared" si="2"/>
        <v>2976.27</v>
      </c>
      <c r="G24" s="61">
        <f>'AE Model'!$J$14</f>
        <v>383</v>
      </c>
      <c r="H24" s="89">
        <f t="shared" si="3"/>
        <v>0.81201044386422971</v>
      </c>
      <c r="J24" s="61">
        <f t="shared" si="11"/>
        <v>0</v>
      </c>
      <c r="K24" s="61">
        <f t="shared" si="11"/>
        <v>4</v>
      </c>
      <c r="L24" s="61">
        <f t="shared" si="11"/>
        <v>0</v>
      </c>
      <c r="M24" s="61">
        <f t="shared" si="11"/>
        <v>0</v>
      </c>
      <c r="N24" s="112">
        <f t="shared" si="14"/>
        <v>0</v>
      </c>
      <c r="O24" s="41">
        <f t="shared" si="15"/>
        <v>1</v>
      </c>
      <c r="P24" s="41">
        <f t="shared" si="16"/>
        <v>0</v>
      </c>
      <c r="Q24" s="113">
        <f t="shared" si="17"/>
        <v>0</v>
      </c>
      <c r="R24" s="15">
        <f>'AE Model'!$I$14</f>
        <v>3333.3333333333335</v>
      </c>
      <c r="S24" s="41">
        <f t="shared" si="8"/>
        <v>0.89288099999999992</v>
      </c>
      <c r="V24" t="str">
        <f t="shared" si="9"/>
        <v>Units Attain 81% | % Exclusive 100% | % to TSI 89%</v>
      </c>
    </row>
    <row r="25" spans="1:22" x14ac:dyDescent="0.35">
      <c r="B25" t="s">
        <v>120</v>
      </c>
      <c r="C25" t="s">
        <v>44</v>
      </c>
      <c r="D25" s="61">
        <f t="shared" si="10"/>
        <v>4</v>
      </c>
      <c r="E25" s="61">
        <f t="shared" si="1"/>
        <v>564</v>
      </c>
      <c r="F25" s="40">
        <f t="shared" si="2"/>
        <v>6892.6440000000002</v>
      </c>
      <c r="G25" s="61">
        <f>'AE Model'!J15</f>
        <v>300</v>
      </c>
      <c r="H25" s="89">
        <f t="shared" si="3"/>
        <v>1.88</v>
      </c>
      <c r="J25" s="61">
        <f t="shared" si="11"/>
        <v>0</v>
      </c>
      <c r="K25" s="61">
        <f t="shared" si="11"/>
        <v>4</v>
      </c>
      <c r="L25" s="61">
        <f t="shared" si="11"/>
        <v>0</v>
      </c>
      <c r="M25" s="61">
        <f t="shared" si="11"/>
        <v>0</v>
      </c>
      <c r="N25" s="112">
        <f t="shared" si="14"/>
        <v>0</v>
      </c>
      <c r="O25" s="41">
        <f t="shared" si="15"/>
        <v>1</v>
      </c>
      <c r="P25" s="41">
        <f t="shared" si="16"/>
        <v>0</v>
      </c>
      <c r="Q25" s="113">
        <f t="shared" si="17"/>
        <v>0</v>
      </c>
      <c r="R25" s="99">
        <f>'AE Model'!$I$14</f>
        <v>3333.3333333333335</v>
      </c>
      <c r="S25" s="42">
        <f t="shared" si="8"/>
        <v>2.0677932000000001</v>
      </c>
      <c r="V25" s="12" t="str">
        <f t="shared" si="9"/>
        <v>Units Attain 188% | % Exclusive 100% | % to TSI 207%</v>
      </c>
    </row>
    <row r="26" spans="1:22" ht="15" thickBot="1" x14ac:dyDescent="0.4">
      <c r="B26" s="85" t="s">
        <v>42</v>
      </c>
      <c r="C26" s="86"/>
      <c r="D26" s="86">
        <f>SUM(D17:D25)</f>
        <v>11</v>
      </c>
      <c r="E26" s="86">
        <f>SUM(E17:E25)</f>
        <v>1157</v>
      </c>
      <c r="F26" s="88">
        <f>SUM(F17:F25)</f>
        <v>11913.414000000001</v>
      </c>
      <c r="G26" s="86">
        <f>'AE Model'!E4</f>
        <v>3353.4</v>
      </c>
      <c r="H26" s="90">
        <f t="shared" si="3"/>
        <v>0.34502296177014374</v>
      </c>
      <c r="J26" s="86">
        <f t="shared" ref="J26:M26" si="18">SUM(J17:J25)</f>
        <v>1</v>
      </c>
      <c r="K26" s="86">
        <f t="shared" si="18"/>
        <v>10</v>
      </c>
      <c r="L26" s="86">
        <f t="shared" si="18"/>
        <v>0</v>
      </c>
      <c r="M26" s="86">
        <f t="shared" si="18"/>
        <v>0</v>
      </c>
      <c r="N26" s="114">
        <f>IFERROR(J26/$D26,"")</f>
        <v>9.0909090909090912E-2</v>
      </c>
      <c r="O26" s="90">
        <f t="shared" si="13"/>
        <v>0.90909090909090906</v>
      </c>
      <c r="P26" s="90">
        <f t="shared" si="13"/>
        <v>0</v>
      </c>
      <c r="Q26" s="115">
        <f t="shared" si="13"/>
        <v>0</v>
      </c>
    </row>
    <row r="27" spans="1:22" x14ac:dyDescent="0.35">
      <c r="C27" s="11"/>
      <c r="D27" s="11"/>
      <c r="E27" s="11"/>
      <c r="F27" s="91"/>
      <c r="H27" s="41"/>
    </row>
    <row r="28" spans="1:22" x14ac:dyDescent="0.35">
      <c r="B28" s="52" t="s">
        <v>944</v>
      </c>
      <c r="C28" s="92" t="s">
        <v>68</v>
      </c>
      <c r="D28" s="92">
        <f>D26</f>
        <v>11</v>
      </c>
      <c r="E28" s="92">
        <f>E26</f>
        <v>1157</v>
      </c>
      <c r="F28" s="93">
        <f>MIN(R28*2,H28*R28)</f>
        <v>1725.1148088507186</v>
      </c>
      <c r="G28" s="92">
        <f>G26</f>
        <v>3353.4</v>
      </c>
      <c r="H28" s="94">
        <f>E28/G28</f>
        <v>0.34502296177014374</v>
      </c>
      <c r="J28" s="92">
        <f t="shared" ref="J28:M28" si="19">J26</f>
        <v>1</v>
      </c>
      <c r="K28" s="92">
        <f t="shared" si="19"/>
        <v>10</v>
      </c>
      <c r="L28" s="92">
        <f t="shared" si="19"/>
        <v>0</v>
      </c>
      <c r="M28" s="92">
        <f t="shared" si="19"/>
        <v>0</v>
      </c>
      <c r="N28" s="118">
        <f>N26</f>
        <v>9.0909090909090912E-2</v>
      </c>
      <c r="O28" s="94">
        <f>O26</f>
        <v>0.90909090909090906</v>
      </c>
      <c r="P28" s="94">
        <f t="shared" ref="P28:Q28" si="20">P26</f>
        <v>0</v>
      </c>
      <c r="Q28" s="94">
        <f t="shared" si="20"/>
        <v>0</v>
      </c>
      <c r="R28" s="119">
        <f>60000/12</f>
        <v>5000</v>
      </c>
      <c r="S28" s="94">
        <f>F28/R28</f>
        <v>0.34502296177014374</v>
      </c>
    </row>
    <row r="30" spans="1:22" x14ac:dyDescent="0.35">
      <c r="B30" s="63" t="s">
        <v>106</v>
      </c>
      <c r="C30" s="8" t="s">
        <v>46</v>
      </c>
      <c r="D30" s="63" t="s">
        <v>108</v>
      </c>
      <c r="E30" s="8" t="s">
        <v>987</v>
      </c>
      <c r="F30" s="8" t="s">
        <v>924</v>
      </c>
      <c r="G30" s="8" t="s">
        <v>925</v>
      </c>
      <c r="H30" s="8" t="s">
        <v>926</v>
      </c>
    </row>
    <row r="31" spans="1:22" x14ac:dyDescent="0.35">
      <c r="A31" s="96" t="str">
        <f>D31&amp;" "&amp;C31</f>
        <v>Access AE</v>
      </c>
      <c r="B31" t="s">
        <v>111</v>
      </c>
      <c r="C31" t="s">
        <v>8</v>
      </c>
      <c r="D31" t="s">
        <v>2</v>
      </c>
      <c r="E31" s="61">
        <f>COUNTIFS($E$2:$E$12,$D31,$B$2:$B$12,$B31)</f>
        <v>0</v>
      </c>
      <c r="F31" s="61">
        <f t="shared" ref="F31:F45" si="21">SUMIFS(F$2:F$12,$B$2:$B$12,$B31,$E$2:$E$12,$D31)</f>
        <v>0</v>
      </c>
      <c r="G31" s="84">
        <f t="shared" ref="G31:G45" si="22">IFERROR(VLOOKUP(A31,AE_rates,4,FALSE),0)</f>
        <v>6.089999999999999</v>
      </c>
      <c r="H31" s="40">
        <f>F31*G31</f>
        <v>0</v>
      </c>
    </row>
    <row r="32" spans="1:22" x14ac:dyDescent="0.35">
      <c r="A32" s="96" t="str">
        <f t="shared" ref="A32:A45" si="23">D32&amp;" "&amp;C32</f>
        <v>Exclusive AE</v>
      </c>
      <c r="B32" t="s">
        <v>111</v>
      </c>
      <c r="C32" t="s">
        <v>8</v>
      </c>
      <c r="D32" t="s">
        <v>927</v>
      </c>
      <c r="E32" s="61">
        <f t="shared" ref="E32:E45" si="24">COUNTIFS($E$2:$E$12,$D32,$B$2:$B$12,$B32)</f>
        <v>1</v>
      </c>
      <c r="F32" s="61">
        <f t="shared" si="21"/>
        <v>58</v>
      </c>
      <c r="G32" s="84">
        <f t="shared" si="22"/>
        <v>9.57</v>
      </c>
      <c r="H32" s="40">
        <f>F32*G32</f>
        <v>555.06000000000006</v>
      </c>
    </row>
    <row r="33" spans="1:8" x14ac:dyDescent="0.35">
      <c r="A33" s="96" t="str">
        <f t="shared" si="23"/>
        <v>Bulk AE</v>
      </c>
      <c r="B33" t="s">
        <v>111</v>
      </c>
      <c r="C33" t="s">
        <v>8</v>
      </c>
      <c r="D33" t="s">
        <v>6</v>
      </c>
      <c r="E33" s="61">
        <f t="shared" si="24"/>
        <v>0</v>
      </c>
      <c r="F33" s="61">
        <f t="shared" si="21"/>
        <v>0</v>
      </c>
      <c r="G33" s="84">
        <f t="shared" si="22"/>
        <v>12.179999999999998</v>
      </c>
      <c r="H33" s="40">
        <f t="shared" ref="H33:H45" si="25">F33*G33</f>
        <v>0</v>
      </c>
    </row>
    <row r="34" spans="1:8" x14ac:dyDescent="0.35">
      <c r="A34" s="96" t="str">
        <f t="shared" si="23"/>
        <v>Access AE</v>
      </c>
      <c r="B34" t="s">
        <v>114</v>
      </c>
      <c r="C34" t="s">
        <v>8</v>
      </c>
      <c r="D34" t="s">
        <v>2</v>
      </c>
      <c r="E34" s="61">
        <f t="shared" si="24"/>
        <v>1</v>
      </c>
      <c r="F34" s="61">
        <f t="shared" si="21"/>
        <v>188</v>
      </c>
      <c r="G34" s="84">
        <f t="shared" si="22"/>
        <v>6.089999999999999</v>
      </c>
      <c r="H34" s="40">
        <f t="shared" si="25"/>
        <v>1144.9199999999998</v>
      </c>
    </row>
    <row r="35" spans="1:8" x14ac:dyDescent="0.35">
      <c r="A35" s="96" t="str">
        <f t="shared" si="23"/>
        <v>Exclusive AE</v>
      </c>
      <c r="B35" t="s">
        <v>114</v>
      </c>
      <c r="C35" t="s">
        <v>8</v>
      </c>
      <c r="D35" t="s">
        <v>927</v>
      </c>
      <c r="E35" s="61">
        <f t="shared" si="24"/>
        <v>0</v>
      </c>
      <c r="F35" s="61">
        <f t="shared" si="21"/>
        <v>0</v>
      </c>
      <c r="G35" s="84">
        <f t="shared" si="22"/>
        <v>9.57</v>
      </c>
      <c r="H35" s="40">
        <f t="shared" si="25"/>
        <v>0</v>
      </c>
    </row>
    <row r="36" spans="1:8" x14ac:dyDescent="0.35">
      <c r="A36" s="96" t="str">
        <f t="shared" si="23"/>
        <v>Bulk AE</v>
      </c>
      <c r="B36" t="s">
        <v>114</v>
      </c>
      <c r="C36" t="s">
        <v>8</v>
      </c>
      <c r="D36" t="s">
        <v>6</v>
      </c>
      <c r="E36" s="61">
        <f t="shared" si="24"/>
        <v>0</v>
      </c>
      <c r="F36" s="61">
        <f t="shared" si="21"/>
        <v>0</v>
      </c>
      <c r="G36" s="84">
        <f t="shared" si="22"/>
        <v>12.179999999999998</v>
      </c>
      <c r="H36" s="40">
        <f t="shared" si="25"/>
        <v>0</v>
      </c>
    </row>
    <row r="37" spans="1:8" x14ac:dyDescent="0.35">
      <c r="A37" s="96" t="str">
        <f t="shared" si="23"/>
        <v>Access AE</v>
      </c>
      <c r="B37" t="s">
        <v>117</v>
      </c>
      <c r="C37" t="s">
        <v>8</v>
      </c>
      <c r="D37" t="s">
        <v>2</v>
      </c>
      <c r="E37" s="61">
        <f t="shared" si="24"/>
        <v>0</v>
      </c>
      <c r="F37" s="61">
        <f t="shared" si="21"/>
        <v>0</v>
      </c>
      <c r="G37" s="84">
        <f t="shared" si="22"/>
        <v>6.089999999999999</v>
      </c>
      <c r="H37" s="40">
        <f t="shared" si="25"/>
        <v>0</v>
      </c>
    </row>
    <row r="38" spans="1:8" x14ac:dyDescent="0.35">
      <c r="A38" s="96" t="str">
        <f t="shared" si="23"/>
        <v>Exclusive AE</v>
      </c>
      <c r="B38" t="s">
        <v>117</v>
      </c>
      <c r="C38" t="s">
        <v>8</v>
      </c>
      <c r="D38" t="s">
        <v>927</v>
      </c>
      <c r="E38" s="61">
        <f t="shared" si="24"/>
        <v>1</v>
      </c>
      <c r="F38" s="61">
        <f t="shared" si="21"/>
        <v>36</v>
      </c>
      <c r="G38" s="84">
        <f t="shared" si="22"/>
        <v>9.57</v>
      </c>
      <c r="H38" s="40">
        <f t="shared" si="25"/>
        <v>344.52</v>
      </c>
    </row>
    <row r="39" spans="1:8" x14ac:dyDescent="0.35">
      <c r="A39" s="96" t="str">
        <f t="shared" si="23"/>
        <v>Bulk AE</v>
      </c>
      <c r="B39" t="s">
        <v>117</v>
      </c>
      <c r="C39" t="s">
        <v>8</v>
      </c>
      <c r="D39" t="s">
        <v>6</v>
      </c>
      <c r="E39" s="61">
        <f t="shared" si="24"/>
        <v>0</v>
      </c>
      <c r="F39" s="61">
        <f t="shared" si="21"/>
        <v>0</v>
      </c>
      <c r="G39" s="84">
        <f t="shared" si="22"/>
        <v>12.179999999999998</v>
      </c>
      <c r="H39" s="40">
        <f t="shared" si="25"/>
        <v>0</v>
      </c>
    </row>
    <row r="40" spans="1:8" x14ac:dyDescent="0.35">
      <c r="A40" s="96" t="str">
        <f t="shared" si="23"/>
        <v>Access Natl AE</v>
      </c>
      <c r="B40" t="s">
        <v>120</v>
      </c>
      <c r="C40" t="s">
        <v>44</v>
      </c>
      <c r="D40" t="s">
        <v>2</v>
      </c>
      <c r="E40" s="61">
        <f t="shared" si="24"/>
        <v>0</v>
      </c>
      <c r="F40" s="61">
        <f t="shared" si="21"/>
        <v>0</v>
      </c>
      <c r="G40" s="84">
        <f t="shared" si="22"/>
        <v>7.7769999999999992</v>
      </c>
      <c r="H40" s="40">
        <f t="shared" si="25"/>
        <v>0</v>
      </c>
    </row>
    <row r="41" spans="1:8" x14ac:dyDescent="0.35">
      <c r="A41" s="96" t="str">
        <f t="shared" si="23"/>
        <v>Exclusive Natl AE</v>
      </c>
      <c r="B41" t="s">
        <v>120</v>
      </c>
      <c r="C41" t="s">
        <v>44</v>
      </c>
      <c r="D41" t="s">
        <v>927</v>
      </c>
      <c r="E41" s="61">
        <f t="shared" si="24"/>
        <v>4</v>
      </c>
      <c r="F41" s="61">
        <f t="shared" si="21"/>
        <v>564</v>
      </c>
      <c r="G41" s="84">
        <f t="shared" si="22"/>
        <v>12.221</v>
      </c>
      <c r="H41" s="40">
        <f t="shared" si="25"/>
        <v>6892.6440000000002</v>
      </c>
    </row>
    <row r="42" spans="1:8" x14ac:dyDescent="0.35">
      <c r="A42" s="96" t="str">
        <f t="shared" si="23"/>
        <v>Bulk Natl AE</v>
      </c>
      <c r="B42" t="s">
        <v>120</v>
      </c>
      <c r="C42" t="s">
        <v>44</v>
      </c>
      <c r="D42" t="s">
        <v>6</v>
      </c>
      <c r="E42" s="61">
        <f t="shared" si="24"/>
        <v>0</v>
      </c>
      <c r="F42" s="61">
        <f t="shared" si="21"/>
        <v>0</v>
      </c>
      <c r="G42" s="84">
        <f t="shared" si="22"/>
        <v>15.553999999999998</v>
      </c>
      <c r="H42" s="40">
        <f t="shared" si="25"/>
        <v>0</v>
      </c>
    </row>
    <row r="43" spans="1:8" x14ac:dyDescent="0.35">
      <c r="A43" s="96" t="str">
        <f t="shared" si="23"/>
        <v>Access AE</v>
      </c>
      <c r="B43" t="s">
        <v>125</v>
      </c>
      <c r="C43" t="s">
        <v>8</v>
      </c>
      <c r="D43" t="s">
        <v>2</v>
      </c>
      <c r="E43" s="61">
        <f t="shared" si="24"/>
        <v>0</v>
      </c>
      <c r="F43" s="61">
        <f t="shared" si="21"/>
        <v>0</v>
      </c>
      <c r="G43" s="84">
        <f t="shared" si="22"/>
        <v>6.089999999999999</v>
      </c>
      <c r="H43" s="40">
        <f t="shared" si="25"/>
        <v>0</v>
      </c>
    </row>
    <row r="44" spans="1:8" x14ac:dyDescent="0.35">
      <c r="A44" s="96" t="str">
        <f t="shared" si="23"/>
        <v>Exclusive AE</v>
      </c>
      <c r="B44" t="s">
        <v>125</v>
      </c>
      <c r="C44" t="s">
        <v>8</v>
      </c>
      <c r="D44" t="s">
        <v>927</v>
      </c>
      <c r="E44" s="61">
        <f t="shared" si="24"/>
        <v>4</v>
      </c>
      <c r="F44" s="61">
        <f t="shared" si="21"/>
        <v>311</v>
      </c>
      <c r="G44" s="84">
        <f t="shared" si="22"/>
        <v>9.57</v>
      </c>
      <c r="H44" s="40">
        <f t="shared" si="25"/>
        <v>2976.27</v>
      </c>
    </row>
    <row r="45" spans="1:8" x14ac:dyDescent="0.35">
      <c r="A45" s="96" t="str">
        <f t="shared" si="23"/>
        <v>Bulk AE</v>
      </c>
      <c r="B45" t="s">
        <v>125</v>
      </c>
      <c r="C45" t="s">
        <v>8</v>
      </c>
      <c r="D45" t="s">
        <v>6</v>
      </c>
      <c r="E45" s="61">
        <f t="shared" si="24"/>
        <v>0</v>
      </c>
      <c r="F45" s="61">
        <f t="shared" si="21"/>
        <v>0</v>
      </c>
      <c r="G45" s="84">
        <f t="shared" si="22"/>
        <v>12.179999999999998</v>
      </c>
      <c r="H45" s="40">
        <f t="shared" si="25"/>
        <v>0</v>
      </c>
    </row>
    <row r="46" spans="1:8" ht="15" thickBot="1" x14ac:dyDescent="0.4">
      <c r="B46" s="85"/>
      <c r="C46" s="85"/>
      <c r="D46" s="85"/>
      <c r="E46" s="86">
        <f>SUM(E31:E45)</f>
        <v>11</v>
      </c>
      <c r="F46" s="86">
        <f>SUM(F31:F45)</f>
        <v>1157</v>
      </c>
      <c r="G46" s="87"/>
      <c r="H46" s="88">
        <f>SUM(H31:H45)</f>
        <v>11913.414000000001</v>
      </c>
    </row>
  </sheetData>
  <sortState xmlns:xlrd2="http://schemas.microsoft.com/office/spreadsheetml/2017/richdata2" ref="B17:B24">
    <sortCondition ref="B17:B24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C6825-A941-4468-94B2-BC34DEBFE784}">
  <dimension ref="A1:Y82"/>
  <sheetViews>
    <sheetView workbookViewId="0">
      <selection activeCell="O20" sqref="O20"/>
    </sheetView>
  </sheetViews>
  <sheetFormatPr defaultRowHeight="14.5" x14ac:dyDescent="0.35"/>
  <cols>
    <col min="1" max="1" width="11.453125" customWidth="1"/>
    <col min="2" max="2" width="17.54296875" bestFit="1" customWidth="1"/>
    <col min="4" max="11" width="14" customWidth="1"/>
    <col min="12" max="12" width="11.6328125" customWidth="1"/>
    <col min="13" max="13" width="17.1796875" bestFit="1" customWidth="1"/>
    <col min="14" max="21" width="11.6328125" customWidth="1"/>
    <col min="23" max="24" width="12.81640625" customWidth="1"/>
  </cols>
  <sheetData>
    <row r="1" spans="1:21" x14ac:dyDescent="0.35">
      <c r="A1" s="100" t="s">
        <v>110</v>
      </c>
      <c r="B1" s="100" t="s">
        <v>948</v>
      </c>
      <c r="C1" s="100" t="s">
        <v>945</v>
      </c>
      <c r="D1" s="100" t="s">
        <v>946</v>
      </c>
      <c r="E1" s="100" t="s">
        <v>947</v>
      </c>
      <c r="F1" s="100" t="s">
        <v>132</v>
      </c>
      <c r="G1" s="100" t="s">
        <v>133</v>
      </c>
      <c r="H1" s="100" t="s">
        <v>130</v>
      </c>
      <c r="I1" s="104" t="s">
        <v>937</v>
      </c>
    </row>
    <row r="2" spans="1:21" x14ac:dyDescent="0.35">
      <c r="A2" s="101" t="s">
        <v>949</v>
      </c>
      <c r="B2" s="101" t="s">
        <v>940</v>
      </c>
      <c r="C2" s="101" t="s">
        <v>116</v>
      </c>
      <c r="D2" s="101" t="s">
        <v>950</v>
      </c>
      <c r="E2" s="103">
        <v>86</v>
      </c>
      <c r="F2" s="102" t="s">
        <v>951</v>
      </c>
      <c r="G2" s="102">
        <v>46023</v>
      </c>
      <c r="H2" s="101" t="s">
        <v>131</v>
      </c>
      <c r="I2" s="68" t="str">
        <f t="shared" ref="I2:I27" si="0">VLOOKUP(C2,AgreeMap,2,FALSE)</f>
        <v>Access</v>
      </c>
    </row>
    <row r="3" spans="1:21" x14ac:dyDescent="0.35">
      <c r="A3" s="101" t="s">
        <v>952</v>
      </c>
      <c r="B3" s="101" t="s">
        <v>940</v>
      </c>
      <c r="C3" s="101" t="s">
        <v>116</v>
      </c>
      <c r="D3" s="101" t="s">
        <v>950</v>
      </c>
      <c r="E3" s="103">
        <v>92</v>
      </c>
      <c r="F3" s="102" t="s">
        <v>951</v>
      </c>
      <c r="G3" s="102">
        <v>46023</v>
      </c>
      <c r="H3" s="101" t="s">
        <v>131</v>
      </c>
      <c r="I3" s="68" t="str">
        <f t="shared" si="0"/>
        <v>Access</v>
      </c>
      <c r="M3" s="8" t="s">
        <v>106</v>
      </c>
      <c r="N3" s="8" t="s">
        <v>46</v>
      </c>
      <c r="O3" s="109" t="s">
        <v>992</v>
      </c>
      <c r="P3" s="109" t="s">
        <v>994</v>
      </c>
      <c r="Q3" s="109" t="s">
        <v>995</v>
      </c>
      <c r="S3" s="121" t="s">
        <v>993</v>
      </c>
      <c r="T3" s="121"/>
      <c r="U3" s="121"/>
    </row>
    <row r="4" spans="1:21" x14ac:dyDescent="0.35">
      <c r="A4" s="101" t="s">
        <v>953</v>
      </c>
      <c r="B4" s="101" t="s">
        <v>940</v>
      </c>
      <c r="C4" s="101" t="s">
        <v>3</v>
      </c>
      <c r="D4" s="101" t="s">
        <v>954</v>
      </c>
      <c r="E4" s="103">
        <v>50</v>
      </c>
      <c r="F4" s="102" t="s">
        <v>955</v>
      </c>
      <c r="G4" s="102">
        <v>46023</v>
      </c>
      <c r="H4" s="101" t="s">
        <v>131</v>
      </c>
      <c r="I4" s="68" t="str">
        <f t="shared" si="0"/>
        <v>Shared</v>
      </c>
      <c r="M4" s="101" t="s">
        <v>940</v>
      </c>
      <c r="N4" t="s">
        <v>8</v>
      </c>
      <c r="O4" s="15">
        <v>3250</v>
      </c>
      <c r="P4" s="15">
        <f>H32</f>
        <v>1475.5199999999998</v>
      </c>
      <c r="Q4" s="15">
        <f>P4-O4</f>
        <v>-1774.4800000000002</v>
      </c>
      <c r="S4" s="15">
        <f>'AE Feb Model'!F17</f>
        <v>0</v>
      </c>
      <c r="T4" s="15"/>
      <c r="U4" s="15"/>
    </row>
    <row r="5" spans="1:21" x14ac:dyDescent="0.35">
      <c r="A5" s="101" t="s">
        <v>956</v>
      </c>
      <c r="B5" s="101" t="s">
        <v>941</v>
      </c>
      <c r="C5" s="101" t="s">
        <v>4</v>
      </c>
      <c r="D5" s="101" t="s">
        <v>950</v>
      </c>
      <c r="E5" s="103">
        <v>117</v>
      </c>
      <c r="F5" s="102" t="s">
        <v>957</v>
      </c>
      <c r="G5" s="102">
        <v>46023</v>
      </c>
      <c r="H5" s="101" t="s">
        <v>131</v>
      </c>
      <c r="I5" s="68" t="str">
        <f t="shared" si="0"/>
        <v>Exclusive</v>
      </c>
      <c r="M5" s="101" t="s">
        <v>941</v>
      </c>
      <c r="N5" t="s">
        <v>8</v>
      </c>
      <c r="O5" s="15">
        <v>4000</v>
      </c>
      <c r="P5" s="15">
        <f t="shared" ref="P5:P12" si="1">H33</f>
        <v>3562.6499999999996</v>
      </c>
      <c r="Q5" s="15">
        <f t="shared" ref="Q5:Q12" si="2">P5-O5</f>
        <v>-437.35000000000036</v>
      </c>
      <c r="S5" s="15">
        <f>'AE Feb Model'!F18</f>
        <v>0</v>
      </c>
      <c r="T5" s="15"/>
      <c r="U5" s="15"/>
    </row>
    <row r="6" spans="1:21" x14ac:dyDescent="0.35">
      <c r="A6" s="101" t="s">
        <v>958</v>
      </c>
      <c r="B6" s="101" t="s">
        <v>941</v>
      </c>
      <c r="C6" s="101" t="s">
        <v>936</v>
      </c>
      <c r="D6" s="101" t="s">
        <v>954</v>
      </c>
      <c r="E6" s="103">
        <v>162</v>
      </c>
      <c r="F6" s="102" t="s">
        <v>959</v>
      </c>
      <c r="G6" s="102">
        <v>46023</v>
      </c>
      <c r="H6" s="101" t="s">
        <v>131</v>
      </c>
      <c r="I6" s="68" t="str">
        <f t="shared" si="0"/>
        <v>Access</v>
      </c>
      <c r="M6" s="101" t="s">
        <v>942</v>
      </c>
      <c r="N6" t="s">
        <v>8</v>
      </c>
      <c r="O6" s="15">
        <v>3250</v>
      </c>
      <c r="P6" s="15">
        <f t="shared" si="1"/>
        <v>995.28</v>
      </c>
      <c r="Q6" s="15">
        <f t="shared" si="2"/>
        <v>-2254.7200000000003</v>
      </c>
      <c r="S6" s="15">
        <f>'AE Feb Model'!F19</f>
        <v>0</v>
      </c>
      <c r="T6" s="15"/>
      <c r="U6" s="15"/>
    </row>
    <row r="7" spans="1:21" x14ac:dyDescent="0.35">
      <c r="A7" s="101" t="s">
        <v>960</v>
      </c>
      <c r="B7" s="101" t="s">
        <v>941</v>
      </c>
      <c r="C7" s="101" t="s">
        <v>3</v>
      </c>
      <c r="D7" s="101" t="s">
        <v>954</v>
      </c>
      <c r="E7" s="103">
        <v>186</v>
      </c>
      <c r="F7" s="102" t="s">
        <v>955</v>
      </c>
      <c r="G7" s="102">
        <v>46023</v>
      </c>
      <c r="H7" s="101" t="s">
        <v>131</v>
      </c>
      <c r="I7" s="68" t="str">
        <f t="shared" si="0"/>
        <v>Shared</v>
      </c>
      <c r="M7" t="s">
        <v>111</v>
      </c>
      <c r="N7" t="s">
        <v>8</v>
      </c>
      <c r="O7" s="15">
        <v>11050</v>
      </c>
      <c r="P7" s="15">
        <f t="shared" si="1"/>
        <v>4494.4199999999992</v>
      </c>
      <c r="Q7" s="15">
        <f t="shared" si="2"/>
        <v>-6555.5800000000008</v>
      </c>
      <c r="S7" s="15">
        <f>'AE Feb Model'!F20</f>
        <v>555.06000000000006</v>
      </c>
      <c r="T7" s="15"/>
      <c r="U7" s="15"/>
    </row>
    <row r="8" spans="1:21" x14ac:dyDescent="0.35">
      <c r="A8" s="101" t="s">
        <v>961</v>
      </c>
      <c r="B8" s="101" t="s">
        <v>942</v>
      </c>
      <c r="C8" s="101" t="s">
        <v>4</v>
      </c>
      <c r="D8" s="101" t="s">
        <v>950</v>
      </c>
      <c r="E8" s="103">
        <v>52</v>
      </c>
      <c r="F8" s="102" t="s">
        <v>962</v>
      </c>
      <c r="G8" s="102">
        <v>46023</v>
      </c>
      <c r="H8" s="101" t="s">
        <v>131</v>
      </c>
      <c r="I8" s="68" t="str">
        <f t="shared" si="0"/>
        <v>Exclusive</v>
      </c>
      <c r="M8" t="s">
        <v>114</v>
      </c>
      <c r="N8" t="s">
        <v>8</v>
      </c>
      <c r="O8" s="15"/>
      <c r="P8" s="15">
        <f t="shared" si="1"/>
        <v>0</v>
      </c>
      <c r="Q8" s="15">
        <f t="shared" si="2"/>
        <v>0</v>
      </c>
      <c r="S8" s="15">
        <f>'AE Feb Model'!F21</f>
        <v>1144.9199999999998</v>
      </c>
      <c r="T8" s="15"/>
      <c r="U8" s="15"/>
    </row>
    <row r="9" spans="1:21" x14ac:dyDescent="0.35">
      <c r="A9" s="101" t="s">
        <v>963</v>
      </c>
      <c r="B9" s="101" t="s">
        <v>942</v>
      </c>
      <c r="C9" s="101" t="s">
        <v>4</v>
      </c>
      <c r="D9" s="101" t="s">
        <v>950</v>
      </c>
      <c r="E9" s="103">
        <v>52</v>
      </c>
      <c r="F9" s="102" t="s">
        <v>964</v>
      </c>
      <c r="G9" s="102">
        <v>46023</v>
      </c>
      <c r="H9" s="101" t="s">
        <v>131</v>
      </c>
      <c r="I9" s="68" t="str">
        <f t="shared" si="0"/>
        <v>Exclusive</v>
      </c>
      <c r="M9" t="s">
        <v>117</v>
      </c>
      <c r="N9" t="s">
        <v>8</v>
      </c>
      <c r="O9" s="15">
        <v>12300</v>
      </c>
      <c r="P9" s="15">
        <f t="shared" si="1"/>
        <v>7669.42</v>
      </c>
      <c r="Q9" s="15">
        <f t="shared" si="2"/>
        <v>-4630.58</v>
      </c>
      <c r="S9" s="15">
        <f>'AE Feb Model'!F22</f>
        <v>344.52</v>
      </c>
      <c r="T9" s="15"/>
      <c r="U9" s="15"/>
    </row>
    <row r="10" spans="1:21" x14ac:dyDescent="0.35">
      <c r="A10" s="101" t="s">
        <v>965</v>
      </c>
      <c r="B10" s="101" t="s">
        <v>111</v>
      </c>
      <c r="C10" s="101" t="s">
        <v>3</v>
      </c>
      <c r="D10" s="101" t="s">
        <v>950</v>
      </c>
      <c r="E10" s="103">
        <v>77</v>
      </c>
      <c r="F10" s="102" t="s">
        <v>966</v>
      </c>
      <c r="G10" s="102">
        <v>46023</v>
      </c>
      <c r="H10" s="101" t="s">
        <v>131</v>
      </c>
      <c r="I10" s="68" t="str">
        <f t="shared" si="0"/>
        <v>Shared</v>
      </c>
      <c r="M10" s="101" t="s">
        <v>943</v>
      </c>
      <c r="N10" t="s">
        <v>8</v>
      </c>
      <c r="O10" s="15">
        <v>2500</v>
      </c>
      <c r="P10" s="15">
        <f t="shared" si="1"/>
        <v>1315.4399999999998</v>
      </c>
      <c r="Q10" s="15">
        <f t="shared" si="2"/>
        <v>-1184.5600000000002</v>
      </c>
      <c r="S10" s="15">
        <f>'AE Feb Model'!F23</f>
        <v>0</v>
      </c>
      <c r="T10" s="15"/>
      <c r="U10" s="15"/>
    </row>
    <row r="11" spans="1:21" x14ac:dyDescent="0.35">
      <c r="A11" s="101" t="s">
        <v>967</v>
      </c>
      <c r="B11" s="101" t="s">
        <v>111</v>
      </c>
      <c r="C11" s="101" t="s">
        <v>6</v>
      </c>
      <c r="D11" s="101" t="s">
        <v>950</v>
      </c>
      <c r="E11" s="103">
        <v>49</v>
      </c>
      <c r="F11" s="102" t="s">
        <v>966</v>
      </c>
      <c r="G11" s="102">
        <v>46023</v>
      </c>
      <c r="H11" s="101" t="s">
        <v>131</v>
      </c>
      <c r="I11" s="68" t="str">
        <f t="shared" si="0"/>
        <v>Bulk</v>
      </c>
      <c r="M11" t="s">
        <v>125</v>
      </c>
      <c r="N11" t="s">
        <v>8</v>
      </c>
      <c r="O11" s="15">
        <v>8000</v>
      </c>
      <c r="P11" s="15">
        <f t="shared" si="1"/>
        <v>2490.81</v>
      </c>
      <c r="Q11" s="15">
        <f t="shared" si="2"/>
        <v>-5509.1900000000005</v>
      </c>
      <c r="S11" s="15">
        <f>'AE Feb Model'!F24</f>
        <v>2976.27</v>
      </c>
      <c r="T11" s="15"/>
      <c r="U11" s="15"/>
    </row>
    <row r="12" spans="1:21" x14ac:dyDescent="0.35">
      <c r="A12" s="101" t="s">
        <v>968</v>
      </c>
      <c r="B12" s="101" t="s">
        <v>111</v>
      </c>
      <c r="C12" s="101" t="s">
        <v>936</v>
      </c>
      <c r="D12" s="101" t="s">
        <v>950</v>
      </c>
      <c r="E12" s="103">
        <v>75</v>
      </c>
      <c r="F12" s="102" t="s">
        <v>962</v>
      </c>
      <c r="G12" s="102">
        <v>46023</v>
      </c>
      <c r="H12" s="101" t="s">
        <v>131</v>
      </c>
      <c r="I12" s="68" t="str">
        <f t="shared" si="0"/>
        <v>Access</v>
      </c>
      <c r="M12" t="s">
        <v>120</v>
      </c>
      <c r="N12" t="s">
        <v>44</v>
      </c>
      <c r="O12" s="15"/>
      <c r="P12" s="15">
        <f t="shared" si="1"/>
        <v>0</v>
      </c>
      <c r="Q12" s="15">
        <f t="shared" si="2"/>
        <v>0</v>
      </c>
      <c r="S12" s="15">
        <f>'AE Feb Model'!F25</f>
        <v>6892.6440000000002</v>
      </c>
      <c r="T12" s="15"/>
      <c r="U12" s="15"/>
    </row>
    <row r="13" spans="1:21" ht="15" thickBot="1" x14ac:dyDescent="0.4">
      <c r="A13" s="101" t="s">
        <v>969</v>
      </c>
      <c r="B13" s="101" t="s">
        <v>111</v>
      </c>
      <c r="C13" s="101" t="s">
        <v>116</v>
      </c>
      <c r="D13" s="101" t="s">
        <v>950</v>
      </c>
      <c r="E13" s="103">
        <v>177</v>
      </c>
      <c r="F13" s="102" t="s">
        <v>957</v>
      </c>
      <c r="G13" s="102">
        <v>46023</v>
      </c>
      <c r="H13" s="101" t="s">
        <v>131</v>
      </c>
      <c r="I13" s="68" t="str">
        <f t="shared" si="0"/>
        <v>Access</v>
      </c>
      <c r="M13" s="85" t="s">
        <v>42</v>
      </c>
      <c r="N13" s="86"/>
      <c r="O13" s="120">
        <f>SUM(O4:O12)</f>
        <v>44350</v>
      </c>
      <c r="P13" s="120">
        <f>SUM(P4:P12)</f>
        <v>22003.54</v>
      </c>
      <c r="Q13" s="120">
        <f>SUM(Q4:Q12)</f>
        <v>-22346.46</v>
      </c>
      <c r="S13" s="120">
        <f>SUM(S4:S12)</f>
        <v>11913.414000000001</v>
      </c>
      <c r="T13" s="15"/>
      <c r="U13" s="15"/>
    </row>
    <row r="14" spans="1:21" x14ac:dyDescent="0.35">
      <c r="A14" s="101" t="s">
        <v>970</v>
      </c>
      <c r="B14" s="101" t="s">
        <v>111</v>
      </c>
      <c r="C14" s="101" t="s">
        <v>6</v>
      </c>
      <c r="D14" s="101" t="s">
        <v>950</v>
      </c>
      <c r="E14" s="103">
        <v>78</v>
      </c>
      <c r="F14" s="102" t="s">
        <v>959</v>
      </c>
      <c r="G14" s="102">
        <v>46023</v>
      </c>
      <c r="H14" s="101" t="s">
        <v>131</v>
      </c>
      <c r="I14" s="68" t="str">
        <f t="shared" si="0"/>
        <v>Bulk</v>
      </c>
    </row>
    <row r="15" spans="1:21" x14ac:dyDescent="0.35">
      <c r="A15" s="101" t="s">
        <v>971</v>
      </c>
      <c r="B15" s="101" t="s">
        <v>111</v>
      </c>
      <c r="C15" s="101" t="s">
        <v>116</v>
      </c>
      <c r="D15" s="101" t="s">
        <v>950</v>
      </c>
      <c r="E15" s="103">
        <v>133</v>
      </c>
      <c r="F15" s="102" t="s">
        <v>951</v>
      </c>
      <c r="G15" s="102">
        <v>46023</v>
      </c>
      <c r="H15" s="101" t="s">
        <v>131</v>
      </c>
      <c r="I15" s="68" t="str">
        <f t="shared" si="0"/>
        <v>Access</v>
      </c>
      <c r="M15" t="s">
        <v>68</v>
      </c>
      <c r="P15" s="15">
        <f>F43</f>
        <v>3740.9793045863898</v>
      </c>
      <c r="S15" s="15">
        <f>'AE Feb Model'!F28</f>
        <v>1725.1148088507186</v>
      </c>
      <c r="T15" s="15"/>
      <c r="U15" s="15"/>
    </row>
    <row r="16" spans="1:21" x14ac:dyDescent="0.35">
      <c r="A16" s="101" t="s">
        <v>972</v>
      </c>
      <c r="B16" s="101" t="s">
        <v>117</v>
      </c>
      <c r="C16" s="101" t="s">
        <v>119</v>
      </c>
      <c r="D16" s="101" t="s">
        <v>954</v>
      </c>
      <c r="E16" s="103">
        <v>91</v>
      </c>
      <c r="F16" s="102" t="s">
        <v>962</v>
      </c>
      <c r="G16" s="102">
        <v>46023</v>
      </c>
      <c r="H16" s="101" t="s">
        <v>131</v>
      </c>
      <c r="I16" s="68" t="str">
        <f t="shared" si="0"/>
        <v>Exclusive</v>
      </c>
    </row>
    <row r="17" spans="1:25" x14ac:dyDescent="0.35">
      <c r="A17" s="101" t="s">
        <v>973</v>
      </c>
      <c r="B17" s="101" t="s">
        <v>117</v>
      </c>
      <c r="C17" s="101" t="s">
        <v>4</v>
      </c>
      <c r="D17" s="101" t="s">
        <v>950</v>
      </c>
      <c r="E17" s="103">
        <v>96</v>
      </c>
      <c r="F17" s="102" t="s">
        <v>974</v>
      </c>
      <c r="G17" s="102">
        <v>46023</v>
      </c>
      <c r="H17" s="101" t="s">
        <v>131</v>
      </c>
      <c r="I17" s="68" t="str">
        <f t="shared" si="0"/>
        <v>Exclusive</v>
      </c>
    </row>
    <row r="18" spans="1:25" x14ac:dyDescent="0.35">
      <c r="A18" s="101" t="s">
        <v>975</v>
      </c>
      <c r="B18" s="101" t="s">
        <v>117</v>
      </c>
      <c r="C18" s="101" t="s">
        <v>4</v>
      </c>
      <c r="D18" s="101" t="s">
        <v>950</v>
      </c>
      <c r="E18" s="103">
        <v>240</v>
      </c>
      <c r="F18" s="102" t="s">
        <v>974</v>
      </c>
      <c r="G18" s="102">
        <v>46023</v>
      </c>
      <c r="H18" s="101" t="s">
        <v>131</v>
      </c>
      <c r="I18" s="68" t="str">
        <f t="shared" si="0"/>
        <v>Exclusive</v>
      </c>
    </row>
    <row r="19" spans="1:25" x14ac:dyDescent="0.35">
      <c r="A19" s="101" t="s">
        <v>976</v>
      </c>
      <c r="B19" s="101" t="s">
        <v>117</v>
      </c>
      <c r="C19" s="101" t="s">
        <v>4</v>
      </c>
      <c r="D19" s="101" t="s">
        <v>954</v>
      </c>
      <c r="E19" s="103">
        <v>171</v>
      </c>
      <c r="F19" s="102" t="s">
        <v>955</v>
      </c>
      <c r="G19" s="102">
        <v>46023</v>
      </c>
      <c r="H19" s="101" t="s">
        <v>131</v>
      </c>
      <c r="I19" s="68" t="str">
        <f t="shared" si="0"/>
        <v>Exclusive</v>
      </c>
    </row>
    <row r="20" spans="1:25" x14ac:dyDescent="0.35">
      <c r="A20" s="101" t="s">
        <v>977</v>
      </c>
      <c r="B20" s="101" t="s">
        <v>117</v>
      </c>
      <c r="C20" s="101" t="s">
        <v>936</v>
      </c>
      <c r="D20" s="101" t="s">
        <v>950</v>
      </c>
      <c r="E20" s="103">
        <v>113</v>
      </c>
      <c r="F20" s="102" t="s">
        <v>959</v>
      </c>
      <c r="G20" s="102">
        <v>46023</v>
      </c>
      <c r="H20" s="101" t="s">
        <v>131</v>
      </c>
      <c r="I20" s="68" t="str">
        <f t="shared" si="0"/>
        <v>Access</v>
      </c>
    </row>
    <row r="21" spans="1:25" x14ac:dyDescent="0.35">
      <c r="A21" s="101" t="s">
        <v>978</v>
      </c>
      <c r="B21" s="101" t="s">
        <v>117</v>
      </c>
      <c r="C21" s="101" t="s">
        <v>4</v>
      </c>
      <c r="D21" s="101" t="s">
        <v>954</v>
      </c>
      <c r="E21" s="103">
        <v>27</v>
      </c>
      <c r="F21" s="102" t="s">
        <v>951</v>
      </c>
      <c r="G21" s="102">
        <v>46023</v>
      </c>
      <c r="H21" s="101" t="s">
        <v>131</v>
      </c>
      <c r="I21" s="68" t="str">
        <f t="shared" si="0"/>
        <v>Exclusive</v>
      </c>
    </row>
    <row r="22" spans="1:25" x14ac:dyDescent="0.35">
      <c r="A22" s="101" t="s">
        <v>979</v>
      </c>
      <c r="B22" s="101" t="s">
        <v>943</v>
      </c>
      <c r="C22" s="101" t="s">
        <v>6</v>
      </c>
      <c r="D22" s="101" t="s">
        <v>950</v>
      </c>
      <c r="E22" s="103">
        <v>108</v>
      </c>
      <c r="F22" s="102" t="s">
        <v>957</v>
      </c>
      <c r="G22" s="102">
        <v>46023</v>
      </c>
      <c r="H22" s="101" t="s">
        <v>131</v>
      </c>
      <c r="I22" s="68" t="str">
        <f t="shared" si="0"/>
        <v>Bulk</v>
      </c>
    </row>
    <row r="23" spans="1:25" x14ac:dyDescent="0.35">
      <c r="A23" s="101" t="s">
        <v>980</v>
      </c>
      <c r="B23" s="101" t="s">
        <v>125</v>
      </c>
      <c r="C23" s="101" t="s">
        <v>6</v>
      </c>
      <c r="D23" s="101" t="s">
        <v>950</v>
      </c>
      <c r="E23" s="103">
        <v>60</v>
      </c>
      <c r="F23" s="102" t="s">
        <v>981</v>
      </c>
      <c r="G23" s="102">
        <v>46023</v>
      </c>
      <c r="H23" s="101" t="s">
        <v>131</v>
      </c>
      <c r="I23" s="68" t="str">
        <f t="shared" si="0"/>
        <v>Bulk</v>
      </c>
    </row>
    <row r="24" spans="1:25" x14ac:dyDescent="0.35">
      <c r="A24" s="101" t="s">
        <v>982</v>
      </c>
      <c r="B24" s="101" t="s">
        <v>125</v>
      </c>
      <c r="C24" s="101" t="s">
        <v>4</v>
      </c>
      <c r="D24" s="101" t="s">
        <v>950</v>
      </c>
      <c r="E24" s="103">
        <v>35</v>
      </c>
      <c r="F24" s="102" t="s">
        <v>981</v>
      </c>
      <c r="G24" s="102">
        <v>46023</v>
      </c>
      <c r="H24" s="101" t="s">
        <v>131</v>
      </c>
      <c r="I24" s="68" t="str">
        <f t="shared" si="0"/>
        <v>Exclusive</v>
      </c>
    </row>
    <row r="25" spans="1:25" x14ac:dyDescent="0.35">
      <c r="A25" s="101" t="s">
        <v>983</v>
      </c>
      <c r="B25" s="101" t="s">
        <v>125</v>
      </c>
      <c r="C25" s="101" t="s">
        <v>3</v>
      </c>
      <c r="D25" s="101" t="s">
        <v>954</v>
      </c>
      <c r="E25" s="103">
        <v>72</v>
      </c>
      <c r="F25" s="102" t="s">
        <v>984</v>
      </c>
      <c r="G25" s="102">
        <v>46023</v>
      </c>
      <c r="H25" s="101" t="s">
        <v>131</v>
      </c>
      <c r="I25" s="68" t="str">
        <f t="shared" si="0"/>
        <v>Shared</v>
      </c>
    </row>
    <row r="26" spans="1:25" x14ac:dyDescent="0.35">
      <c r="A26" s="101" t="s">
        <v>985</v>
      </c>
      <c r="B26" s="101" t="s">
        <v>125</v>
      </c>
      <c r="C26" s="101" t="s">
        <v>3</v>
      </c>
      <c r="D26" s="101" t="s">
        <v>954</v>
      </c>
      <c r="E26" s="103">
        <v>66</v>
      </c>
      <c r="F26" s="102" t="s">
        <v>984</v>
      </c>
      <c r="G26" s="102">
        <v>46023</v>
      </c>
      <c r="H26" s="101" t="s">
        <v>131</v>
      </c>
      <c r="I26" s="68" t="str">
        <f t="shared" si="0"/>
        <v>Shared</v>
      </c>
    </row>
    <row r="27" spans="1:25" x14ac:dyDescent="0.35">
      <c r="A27" s="101" t="s">
        <v>986</v>
      </c>
      <c r="B27" s="101" t="s">
        <v>125</v>
      </c>
      <c r="C27" s="101" t="s">
        <v>3</v>
      </c>
      <c r="D27" s="101" t="s">
        <v>954</v>
      </c>
      <c r="E27" s="103">
        <v>44</v>
      </c>
      <c r="F27" s="102" t="s">
        <v>984</v>
      </c>
      <c r="G27" s="102">
        <v>46023</v>
      </c>
      <c r="H27" s="101" t="s">
        <v>131</v>
      </c>
      <c r="I27" s="68" t="str">
        <f t="shared" si="0"/>
        <v>Shared</v>
      </c>
    </row>
    <row r="28" spans="1:25" x14ac:dyDescent="0.35">
      <c r="A28" s="9"/>
      <c r="B28" s="9"/>
      <c r="C28" s="9"/>
      <c r="D28" s="9"/>
      <c r="E28" s="105">
        <f>SUM(E2:E27)</f>
        <v>2509</v>
      </c>
      <c r="F28" s="9"/>
      <c r="G28" s="9"/>
      <c r="H28" s="9"/>
      <c r="I28" s="9"/>
      <c r="J28" s="9"/>
      <c r="K28" s="9"/>
    </row>
    <row r="29" spans="1:25" x14ac:dyDescent="0.35">
      <c r="E29" s="39"/>
    </row>
    <row r="30" spans="1:25" x14ac:dyDescent="0.35">
      <c r="B30" s="63"/>
      <c r="C30" s="8"/>
      <c r="D30" s="8"/>
      <c r="E30" s="8"/>
      <c r="F30" s="8"/>
      <c r="G30" s="8"/>
      <c r="H30" s="8"/>
      <c r="I30" s="16"/>
      <c r="J30" s="16"/>
      <c r="K30" s="16"/>
      <c r="L30" s="110" t="s">
        <v>989</v>
      </c>
      <c r="M30" s="110"/>
      <c r="N30" s="110"/>
      <c r="O30" s="110"/>
      <c r="P30" s="111" t="s">
        <v>991</v>
      </c>
      <c r="Q30" s="110"/>
      <c r="R30" s="110"/>
      <c r="S30" s="110"/>
      <c r="T30" s="20" t="s">
        <v>1515</v>
      </c>
      <c r="U30" s="18"/>
    </row>
    <row r="31" spans="1:25" x14ac:dyDescent="0.35">
      <c r="B31" s="8" t="s">
        <v>106</v>
      </c>
      <c r="C31" s="8" t="s">
        <v>46</v>
      </c>
      <c r="D31" s="8" t="s">
        <v>990</v>
      </c>
      <c r="E31" s="16" t="s">
        <v>924</v>
      </c>
      <c r="F31" s="16" t="s">
        <v>926</v>
      </c>
      <c r="G31" s="16" t="s">
        <v>1515</v>
      </c>
      <c r="H31" s="16" t="s">
        <v>1516</v>
      </c>
      <c r="I31" s="16" t="s">
        <v>929</v>
      </c>
      <c r="J31" s="16" t="s">
        <v>930</v>
      </c>
      <c r="L31" s="116" t="s">
        <v>2</v>
      </c>
      <c r="M31" s="116" t="s">
        <v>927</v>
      </c>
      <c r="N31" s="116" t="s">
        <v>931</v>
      </c>
      <c r="O31" s="116" t="s">
        <v>6</v>
      </c>
      <c r="P31" s="117" t="s">
        <v>2</v>
      </c>
      <c r="Q31" s="116" t="s">
        <v>927</v>
      </c>
      <c r="R31" s="116" t="s">
        <v>931</v>
      </c>
      <c r="S31" s="116" t="s">
        <v>6</v>
      </c>
      <c r="T31" s="117" t="s">
        <v>1513</v>
      </c>
      <c r="U31" s="116" t="s">
        <v>1514</v>
      </c>
      <c r="W31" s="8" t="s">
        <v>23</v>
      </c>
      <c r="X31" s="8" t="s">
        <v>928</v>
      </c>
      <c r="Y31" s="8" t="s">
        <v>988</v>
      </c>
    </row>
    <row r="32" spans="1:25" x14ac:dyDescent="0.35">
      <c r="B32" s="101" t="s">
        <v>940</v>
      </c>
      <c r="C32" t="s">
        <v>8</v>
      </c>
      <c r="D32" s="61">
        <f t="shared" ref="D32:D40" si="3">SUMIF($B$46:$B$81,B32,$E$46:$E$81)</f>
        <v>3</v>
      </c>
      <c r="E32" s="61">
        <f t="shared" ref="E32:E40" si="4">SUMIF($B$46:$B$81,$B32,$F$46:$F$81)</f>
        <v>228</v>
      </c>
      <c r="F32" s="40">
        <f>SUMIF($B$46:$B$81,$B32,$J$46:$J$81)</f>
        <v>1475.5199999999998</v>
      </c>
      <c r="G32" s="40">
        <f>U32</f>
        <v>0</v>
      </c>
      <c r="H32" s="40">
        <f>MIN(W32*3,(F32+G32))</f>
        <v>1475.5199999999998</v>
      </c>
      <c r="I32" s="61">
        <f>'AE Model'!$J$14</f>
        <v>383</v>
      </c>
      <c r="J32" s="89">
        <f t="shared" ref="J32:J41" si="5">E32/I32</f>
        <v>0.59530026109660572</v>
      </c>
      <c r="L32" s="61">
        <f>SUMIFS($E$46:$E$81,$D$46:$D$81,L$31,$B$46:$B$81,$B32)</f>
        <v>2</v>
      </c>
      <c r="M32" s="61">
        <f t="shared" ref="M32:O32" si="6">SUMIFS($E$46:$E$81,$D$46:$D$81,M$31,$B$46:$B$81,$B32)</f>
        <v>0</v>
      </c>
      <c r="N32" s="61">
        <f t="shared" si="6"/>
        <v>1</v>
      </c>
      <c r="O32" s="61">
        <f t="shared" si="6"/>
        <v>0</v>
      </c>
      <c r="P32" s="112">
        <f t="shared" ref="P32:S41" si="7">IFERROR(L32/$D32,"")</f>
        <v>0.66666666666666663</v>
      </c>
      <c r="Q32" s="41">
        <f t="shared" si="7"/>
        <v>0</v>
      </c>
      <c r="R32" s="41">
        <f t="shared" si="7"/>
        <v>0.33333333333333331</v>
      </c>
      <c r="S32" s="41">
        <f t="shared" si="7"/>
        <v>0</v>
      </c>
      <c r="T32" s="146">
        <f>M32+O32</f>
        <v>0</v>
      </c>
      <c r="U32" s="91">
        <f>IF(T32&gt;=5,1000,0)</f>
        <v>0</v>
      </c>
      <c r="W32" s="15">
        <f>'AE Model'!$I$14</f>
        <v>3333.3333333333335</v>
      </c>
      <c r="X32" s="89">
        <f>H32/W32</f>
        <v>0.44265599999999988</v>
      </c>
      <c r="Y32" t="str">
        <f>"Units Attain "&amp;TEXT(J32,"0%")&amp;" | % Exclusive "&amp;TEXT(Q32,"0%")&amp;" | % to TSI "&amp;TEXT(X32,"0%")</f>
        <v>Units Attain 60% | % Exclusive 0% | % to TSI 44%</v>
      </c>
    </row>
    <row r="33" spans="1:25" x14ac:dyDescent="0.35">
      <c r="B33" s="101" t="s">
        <v>941</v>
      </c>
      <c r="C33" t="s">
        <v>8</v>
      </c>
      <c r="D33" s="61">
        <f t="shared" si="3"/>
        <v>3</v>
      </c>
      <c r="E33" s="61">
        <f t="shared" si="4"/>
        <v>465</v>
      </c>
      <c r="F33" s="40">
        <f t="shared" ref="F33:F40" si="8">SUMIF($B$46:$B$81,$B33,$J$46:$J$81)</f>
        <v>3562.6499999999996</v>
      </c>
      <c r="G33" s="40">
        <f t="shared" ref="G33:G40" si="9">U33</f>
        <v>0</v>
      </c>
      <c r="H33" s="40">
        <f t="shared" ref="H33:H40" si="10">MIN(W33*3,(F33+G33))</f>
        <v>3562.6499999999996</v>
      </c>
      <c r="I33" s="61">
        <f>'AE Model'!$J$14</f>
        <v>383</v>
      </c>
      <c r="J33" s="89">
        <f t="shared" si="5"/>
        <v>1.2140992167101827</v>
      </c>
      <c r="L33" s="61">
        <f t="shared" ref="L33:O40" si="11">SUMIFS($E$46:$E$81,$D$46:$D$81,L$31,$B$46:$B$81,$B33)</f>
        <v>1</v>
      </c>
      <c r="M33" s="61">
        <f t="shared" si="11"/>
        <v>1</v>
      </c>
      <c r="N33" s="61">
        <f t="shared" si="11"/>
        <v>1</v>
      </c>
      <c r="O33" s="61">
        <f t="shared" si="11"/>
        <v>0</v>
      </c>
      <c r="P33" s="112">
        <f t="shared" si="7"/>
        <v>0.33333333333333331</v>
      </c>
      <c r="Q33" s="41">
        <f t="shared" si="7"/>
        <v>0.33333333333333331</v>
      </c>
      <c r="R33" s="41">
        <f t="shared" si="7"/>
        <v>0.33333333333333331</v>
      </c>
      <c r="S33" s="41">
        <f t="shared" si="7"/>
        <v>0</v>
      </c>
      <c r="T33" s="146">
        <f t="shared" ref="T33:T40" si="12">M33+O33</f>
        <v>1</v>
      </c>
      <c r="U33" s="91">
        <f t="shared" ref="U33:U40" si="13">IF(T33&gt;=5,1000,0)</f>
        <v>0</v>
      </c>
      <c r="W33" s="15">
        <f>'AE Model'!$I$14</f>
        <v>3333.3333333333335</v>
      </c>
      <c r="X33" s="89">
        <f t="shared" ref="X33:X40" si="14">H33/W33</f>
        <v>1.0687949999999999</v>
      </c>
      <c r="Y33" t="str">
        <f t="shared" ref="Y33:Y40" si="15">"Units Attain "&amp;TEXT(J33,"0%")&amp;" | % Exclusive "&amp;TEXT(Q33,"0%")&amp;" | % to TSI "&amp;TEXT(X33,"0%")</f>
        <v>Units Attain 121% | % Exclusive 33% | % to TSI 107%</v>
      </c>
    </row>
    <row r="34" spans="1:25" x14ac:dyDescent="0.35">
      <c r="B34" s="101" t="s">
        <v>942</v>
      </c>
      <c r="C34" t="s">
        <v>8</v>
      </c>
      <c r="D34" s="61">
        <f t="shared" si="3"/>
        <v>2</v>
      </c>
      <c r="E34" s="61">
        <f t="shared" si="4"/>
        <v>104</v>
      </c>
      <c r="F34" s="40">
        <f t="shared" si="8"/>
        <v>995.28</v>
      </c>
      <c r="G34" s="40">
        <f t="shared" si="9"/>
        <v>0</v>
      </c>
      <c r="H34" s="40">
        <f t="shared" si="10"/>
        <v>995.28</v>
      </c>
      <c r="I34" s="61">
        <f>'AE Model'!$J$14</f>
        <v>383</v>
      </c>
      <c r="J34" s="89">
        <f t="shared" si="5"/>
        <v>0.27154046997389036</v>
      </c>
      <c r="L34" s="61">
        <f t="shared" si="11"/>
        <v>0</v>
      </c>
      <c r="M34" s="61">
        <f t="shared" si="11"/>
        <v>2</v>
      </c>
      <c r="N34" s="61">
        <f t="shared" si="11"/>
        <v>0</v>
      </c>
      <c r="O34" s="61">
        <f t="shared" si="11"/>
        <v>0</v>
      </c>
      <c r="P34" s="112">
        <f t="shared" si="7"/>
        <v>0</v>
      </c>
      <c r="Q34" s="41">
        <f t="shared" si="7"/>
        <v>1</v>
      </c>
      <c r="R34" s="41">
        <f t="shared" si="7"/>
        <v>0</v>
      </c>
      <c r="S34" s="41">
        <f t="shared" si="7"/>
        <v>0</v>
      </c>
      <c r="T34" s="146">
        <f t="shared" si="12"/>
        <v>2</v>
      </c>
      <c r="U34" s="91">
        <f t="shared" si="13"/>
        <v>0</v>
      </c>
      <c r="W34" s="15">
        <f>'AE Model'!$I$14</f>
        <v>3333.3333333333335</v>
      </c>
      <c r="X34" s="89">
        <f t="shared" si="14"/>
        <v>0.29858399999999996</v>
      </c>
      <c r="Y34" t="str">
        <f t="shared" si="15"/>
        <v>Units Attain 27% | % Exclusive 100% | % to TSI 30%</v>
      </c>
    </row>
    <row r="35" spans="1:25" x14ac:dyDescent="0.35">
      <c r="B35" t="s">
        <v>111</v>
      </c>
      <c r="C35" t="s">
        <v>8</v>
      </c>
      <c r="D35" s="61">
        <f t="shared" si="3"/>
        <v>6</v>
      </c>
      <c r="E35" s="61">
        <f t="shared" si="4"/>
        <v>589</v>
      </c>
      <c r="F35" s="40">
        <f t="shared" si="8"/>
        <v>4494.4199999999992</v>
      </c>
      <c r="G35" s="40">
        <f t="shared" si="9"/>
        <v>0</v>
      </c>
      <c r="H35" s="40">
        <f t="shared" si="10"/>
        <v>4494.4199999999992</v>
      </c>
      <c r="I35" s="61">
        <f>'AE Model'!$J$14</f>
        <v>383</v>
      </c>
      <c r="J35" s="89">
        <f t="shared" si="5"/>
        <v>1.5378590078328982</v>
      </c>
      <c r="L35" s="61">
        <f t="shared" si="11"/>
        <v>3</v>
      </c>
      <c r="M35" s="61">
        <f t="shared" si="11"/>
        <v>0</v>
      </c>
      <c r="N35" s="61">
        <f t="shared" si="11"/>
        <v>1</v>
      </c>
      <c r="O35" s="61">
        <f t="shared" si="11"/>
        <v>2</v>
      </c>
      <c r="P35" s="112">
        <f t="shared" si="7"/>
        <v>0.5</v>
      </c>
      <c r="Q35" s="41">
        <f t="shared" si="7"/>
        <v>0</v>
      </c>
      <c r="R35" s="41">
        <f t="shared" si="7"/>
        <v>0.16666666666666666</v>
      </c>
      <c r="S35" s="41">
        <f t="shared" si="7"/>
        <v>0.33333333333333331</v>
      </c>
      <c r="T35" s="146">
        <f t="shared" si="12"/>
        <v>2</v>
      </c>
      <c r="U35" s="91">
        <f t="shared" si="13"/>
        <v>0</v>
      </c>
      <c r="W35" s="15">
        <f>'AE Model'!$I$14</f>
        <v>3333.3333333333335</v>
      </c>
      <c r="X35" s="89">
        <f t="shared" si="14"/>
        <v>1.3483259999999997</v>
      </c>
      <c r="Y35" t="str">
        <f t="shared" si="15"/>
        <v>Units Attain 154% | % Exclusive 0% | % to TSI 135%</v>
      </c>
    </row>
    <row r="36" spans="1:25" x14ac:dyDescent="0.35">
      <c r="B36" t="s">
        <v>114</v>
      </c>
      <c r="C36" t="s">
        <v>8</v>
      </c>
      <c r="D36" s="61">
        <f t="shared" si="3"/>
        <v>0</v>
      </c>
      <c r="E36" s="61">
        <f t="shared" si="4"/>
        <v>0</v>
      </c>
      <c r="F36" s="40">
        <f t="shared" si="8"/>
        <v>0</v>
      </c>
      <c r="G36" s="40">
        <f t="shared" si="9"/>
        <v>0</v>
      </c>
      <c r="H36" s="40">
        <f t="shared" si="10"/>
        <v>0</v>
      </c>
      <c r="I36" s="61">
        <f>'AE Model'!$J$14</f>
        <v>383</v>
      </c>
      <c r="J36" s="89">
        <f t="shared" si="5"/>
        <v>0</v>
      </c>
      <c r="L36" s="61">
        <f t="shared" si="11"/>
        <v>0</v>
      </c>
      <c r="M36" s="61">
        <f t="shared" si="11"/>
        <v>0</v>
      </c>
      <c r="N36" s="61">
        <f t="shared" si="11"/>
        <v>0</v>
      </c>
      <c r="O36" s="61">
        <f t="shared" si="11"/>
        <v>0</v>
      </c>
      <c r="P36" s="112" t="str">
        <f t="shared" si="7"/>
        <v/>
      </c>
      <c r="Q36" s="41" t="str">
        <f t="shared" si="7"/>
        <v/>
      </c>
      <c r="R36" s="41" t="str">
        <f t="shared" si="7"/>
        <v/>
      </c>
      <c r="S36" s="41" t="str">
        <f t="shared" si="7"/>
        <v/>
      </c>
      <c r="T36" s="146">
        <f t="shared" si="12"/>
        <v>0</v>
      </c>
      <c r="U36" s="91">
        <f t="shared" si="13"/>
        <v>0</v>
      </c>
      <c r="W36" s="15">
        <f>'AE Model'!$I$14</f>
        <v>3333.3333333333335</v>
      </c>
      <c r="X36" s="89">
        <f t="shared" si="14"/>
        <v>0</v>
      </c>
      <c r="Y36" s="107" t="str">
        <f t="shared" si="15"/>
        <v>Units Attain 0% | % Exclusive  | % to TSI 0%</v>
      </c>
    </row>
    <row r="37" spans="1:25" x14ac:dyDescent="0.35">
      <c r="B37" t="s">
        <v>117</v>
      </c>
      <c r="C37" t="s">
        <v>8</v>
      </c>
      <c r="D37" s="61">
        <f t="shared" si="3"/>
        <v>6</v>
      </c>
      <c r="E37" s="61">
        <f t="shared" si="4"/>
        <v>738</v>
      </c>
      <c r="F37" s="40">
        <f t="shared" si="8"/>
        <v>6669.42</v>
      </c>
      <c r="G37" s="40">
        <f t="shared" si="9"/>
        <v>1000</v>
      </c>
      <c r="H37" s="40">
        <f t="shared" si="10"/>
        <v>7669.42</v>
      </c>
      <c r="I37" s="61">
        <f>'AE Model'!$J$14</f>
        <v>383</v>
      </c>
      <c r="J37" s="89">
        <f t="shared" si="5"/>
        <v>1.926892950391645</v>
      </c>
      <c r="L37" s="61">
        <f t="shared" si="11"/>
        <v>1</v>
      </c>
      <c r="M37" s="61">
        <f t="shared" si="11"/>
        <v>5</v>
      </c>
      <c r="N37" s="61">
        <f t="shared" si="11"/>
        <v>0</v>
      </c>
      <c r="O37" s="61">
        <f t="shared" si="11"/>
        <v>0</v>
      </c>
      <c r="P37" s="112">
        <f t="shared" si="7"/>
        <v>0.16666666666666666</v>
      </c>
      <c r="Q37" s="41">
        <f t="shared" si="7"/>
        <v>0.83333333333333337</v>
      </c>
      <c r="R37" s="41">
        <f t="shared" si="7"/>
        <v>0</v>
      </c>
      <c r="S37" s="41">
        <f t="shared" si="7"/>
        <v>0</v>
      </c>
      <c r="T37" s="146">
        <f t="shared" si="12"/>
        <v>5</v>
      </c>
      <c r="U37" s="91">
        <f t="shared" si="13"/>
        <v>1000</v>
      </c>
      <c r="W37" s="15">
        <f>'AE Model'!$I$14</f>
        <v>3333.3333333333335</v>
      </c>
      <c r="X37" s="89">
        <f t="shared" si="14"/>
        <v>2.3008259999999998</v>
      </c>
      <c r="Y37" t="str">
        <f t="shared" si="15"/>
        <v>Units Attain 193% | % Exclusive 83% | % to TSI 230%</v>
      </c>
    </row>
    <row r="38" spans="1:25" x14ac:dyDescent="0.35">
      <c r="B38" s="101" t="s">
        <v>943</v>
      </c>
      <c r="C38" t="s">
        <v>8</v>
      </c>
      <c r="D38" s="61">
        <f t="shared" si="3"/>
        <v>1</v>
      </c>
      <c r="E38" s="61">
        <f t="shared" si="4"/>
        <v>108</v>
      </c>
      <c r="F38" s="40">
        <f t="shared" si="8"/>
        <v>1315.4399999999998</v>
      </c>
      <c r="G38" s="40">
        <f t="shared" si="9"/>
        <v>0</v>
      </c>
      <c r="H38" s="40">
        <f t="shared" si="10"/>
        <v>1315.4399999999998</v>
      </c>
      <c r="I38" s="61">
        <f>'AE Model'!$J$14</f>
        <v>383</v>
      </c>
      <c r="J38" s="89">
        <f t="shared" si="5"/>
        <v>0.28198433420365537</v>
      </c>
      <c r="L38" s="61">
        <f t="shared" si="11"/>
        <v>0</v>
      </c>
      <c r="M38" s="61">
        <f t="shared" si="11"/>
        <v>0</v>
      </c>
      <c r="N38" s="61">
        <f t="shared" si="11"/>
        <v>0</v>
      </c>
      <c r="O38" s="61">
        <f t="shared" si="11"/>
        <v>1</v>
      </c>
      <c r="P38" s="112">
        <f t="shared" si="7"/>
        <v>0</v>
      </c>
      <c r="Q38" s="41">
        <f t="shared" si="7"/>
        <v>0</v>
      </c>
      <c r="R38" s="41">
        <f t="shared" si="7"/>
        <v>0</v>
      </c>
      <c r="S38" s="41">
        <f t="shared" si="7"/>
        <v>1</v>
      </c>
      <c r="T38" s="146">
        <f t="shared" si="12"/>
        <v>1</v>
      </c>
      <c r="U38" s="91">
        <f t="shared" si="13"/>
        <v>0</v>
      </c>
      <c r="W38" s="15">
        <f>'AE Model'!$I$14</f>
        <v>3333.3333333333335</v>
      </c>
      <c r="X38" s="89">
        <f t="shared" si="14"/>
        <v>0.39463199999999993</v>
      </c>
      <c r="Y38" t="str">
        <f t="shared" si="15"/>
        <v>Units Attain 28% | % Exclusive 0% | % to TSI 39%</v>
      </c>
    </row>
    <row r="39" spans="1:25" x14ac:dyDescent="0.35">
      <c r="B39" t="s">
        <v>125</v>
      </c>
      <c r="C39" t="s">
        <v>8</v>
      </c>
      <c r="D39" s="61">
        <f t="shared" si="3"/>
        <v>5</v>
      </c>
      <c r="E39" s="61">
        <f t="shared" si="4"/>
        <v>277</v>
      </c>
      <c r="F39" s="40">
        <f t="shared" si="8"/>
        <v>2490.81</v>
      </c>
      <c r="G39" s="40">
        <f t="shared" si="9"/>
        <v>0</v>
      </c>
      <c r="H39" s="40">
        <f t="shared" si="10"/>
        <v>2490.81</v>
      </c>
      <c r="I39" s="61">
        <f>'AE Model'!$J$14</f>
        <v>383</v>
      </c>
      <c r="J39" s="89">
        <f t="shared" si="5"/>
        <v>0.7232375979112271</v>
      </c>
      <c r="L39" s="61">
        <f t="shared" si="11"/>
        <v>0</v>
      </c>
      <c r="M39" s="61">
        <f t="shared" si="11"/>
        <v>1</v>
      </c>
      <c r="N39" s="61">
        <f t="shared" si="11"/>
        <v>3</v>
      </c>
      <c r="O39" s="61">
        <f t="shared" si="11"/>
        <v>1</v>
      </c>
      <c r="P39" s="112">
        <f t="shared" si="7"/>
        <v>0</v>
      </c>
      <c r="Q39" s="41">
        <f t="shared" si="7"/>
        <v>0.2</v>
      </c>
      <c r="R39" s="41">
        <f t="shared" si="7"/>
        <v>0.6</v>
      </c>
      <c r="S39" s="41">
        <f t="shared" si="7"/>
        <v>0.2</v>
      </c>
      <c r="T39" s="146">
        <f t="shared" si="12"/>
        <v>2</v>
      </c>
      <c r="U39" s="91">
        <f t="shared" si="13"/>
        <v>0</v>
      </c>
      <c r="W39" s="15">
        <f>'AE Model'!$I$14</f>
        <v>3333.3333333333335</v>
      </c>
      <c r="X39" s="41">
        <f t="shared" si="14"/>
        <v>0.74724299999999999</v>
      </c>
      <c r="Y39" t="str">
        <f t="shared" si="15"/>
        <v>Units Attain 72% | % Exclusive 20% | % to TSI 75%</v>
      </c>
    </row>
    <row r="40" spans="1:25" x14ac:dyDescent="0.35">
      <c r="B40" t="s">
        <v>120</v>
      </c>
      <c r="C40" t="s">
        <v>44</v>
      </c>
      <c r="D40" s="61">
        <f t="shared" si="3"/>
        <v>0</v>
      </c>
      <c r="E40" s="61">
        <f t="shared" si="4"/>
        <v>0</v>
      </c>
      <c r="F40" s="40">
        <f t="shared" si="8"/>
        <v>0</v>
      </c>
      <c r="G40" s="40">
        <f t="shared" si="9"/>
        <v>0</v>
      </c>
      <c r="H40" s="40">
        <f t="shared" si="10"/>
        <v>0</v>
      </c>
      <c r="I40" s="61">
        <f>'AE Model'!J15</f>
        <v>300</v>
      </c>
      <c r="J40" s="89">
        <f t="shared" si="5"/>
        <v>0</v>
      </c>
      <c r="L40" s="61">
        <f t="shared" si="11"/>
        <v>0</v>
      </c>
      <c r="M40" s="61">
        <f t="shared" si="11"/>
        <v>0</v>
      </c>
      <c r="N40" s="61">
        <f t="shared" si="11"/>
        <v>0</v>
      </c>
      <c r="O40" s="61">
        <f t="shared" si="11"/>
        <v>0</v>
      </c>
      <c r="P40" s="112" t="str">
        <f t="shared" si="7"/>
        <v/>
      </c>
      <c r="Q40" s="41" t="str">
        <f t="shared" si="7"/>
        <v/>
      </c>
      <c r="R40" s="41" t="str">
        <f t="shared" si="7"/>
        <v/>
      </c>
      <c r="S40" s="41" t="str">
        <f t="shared" si="7"/>
        <v/>
      </c>
      <c r="T40" s="146">
        <f t="shared" si="12"/>
        <v>0</v>
      </c>
      <c r="U40" s="91">
        <f t="shared" si="13"/>
        <v>0</v>
      </c>
      <c r="W40" s="99">
        <f>'AE Model'!$I$14</f>
        <v>3333.3333333333335</v>
      </c>
      <c r="X40" s="42">
        <f t="shared" si="14"/>
        <v>0</v>
      </c>
      <c r="Y40" s="107" t="str">
        <f t="shared" si="15"/>
        <v>Units Attain 0% | % Exclusive  | % to TSI 0%</v>
      </c>
    </row>
    <row r="41" spans="1:25" ht="15" thickBot="1" x14ac:dyDescent="0.4">
      <c r="B41" s="85" t="s">
        <v>42</v>
      </c>
      <c r="C41" s="86"/>
      <c r="D41" s="86">
        <f>SUM(D32:D40)</f>
        <v>26</v>
      </c>
      <c r="E41" s="86">
        <f>SUM(E32:E40)</f>
        <v>2509</v>
      </c>
      <c r="F41" s="88">
        <f>SUM(F32:F40)</f>
        <v>21003.54</v>
      </c>
      <c r="G41" s="88">
        <f>SUM(G32:G40)</f>
        <v>1000</v>
      </c>
      <c r="H41" s="88">
        <f>SUM(H32:H40)</f>
        <v>22003.54</v>
      </c>
      <c r="I41" s="86">
        <f>'AE Model'!D4</f>
        <v>3353.4</v>
      </c>
      <c r="J41" s="90">
        <f t="shared" si="5"/>
        <v>0.74819586091727797</v>
      </c>
      <c r="L41" s="86">
        <f t="shared" ref="L41:O41" si="16">SUM(L32:L40)</f>
        <v>7</v>
      </c>
      <c r="M41" s="86">
        <f t="shared" si="16"/>
        <v>9</v>
      </c>
      <c r="N41" s="86">
        <f t="shared" si="16"/>
        <v>6</v>
      </c>
      <c r="O41" s="86">
        <f t="shared" si="16"/>
        <v>4</v>
      </c>
      <c r="P41" s="114">
        <f>IFERROR(L41/$D41,"")</f>
        <v>0.26923076923076922</v>
      </c>
      <c r="Q41" s="90">
        <f t="shared" si="7"/>
        <v>0.34615384615384615</v>
      </c>
      <c r="R41" s="90">
        <f t="shared" si="7"/>
        <v>0.23076923076923078</v>
      </c>
      <c r="S41" s="90">
        <f t="shared" si="7"/>
        <v>0.15384615384615385</v>
      </c>
      <c r="T41" s="147">
        <f t="shared" ref="T41" si="17">SUM(T32:T40)</f>
        <v>13</v>
      </c>
      <c r="U41" s="41"/>
    </row>
    <row r="42" spans="1:25" x14ac:dyDescent="0.35">
      <c r="C42" s="11"/>
      <c r="F42" s="91"/>
      <c r="G42" s="91"/>
      <c r="H42" s="91"/>
      <c r="I42" s="11"/>
    </row>
    <row r="43" spans="1:25" x14ac:dyDescent="0.35">
      <c r="B43" s="52" t="s">
        <v>944</v>
      </c>
      <c r="C43" s="92" t="s">
        <v>68</v>
      </c>
      <c r="D43" s="92">
        <f>D41</f>
        <v>26</v>
      </c>
      <c r="E43" s="92">
        <f>E41</f>
        <v>2509</v>
      </c>
      <c r="F43" s="93">
        <f>MIN(W43*2,J43*W43)</f>
        <v>3740.9793045863898</v>
      </c>
      <c r="G43" s="93"/>
      <c r="H43" s="93"/>
      <c r="I43" s="92">
        <f>I41</f>
        <v>3353.4</v>
      </c>
      <c r="J43" s="94">
        <f>E43/I43</f>
        <v>0.74819586091727797</v>
      </c>
      <c r="L43" s="92">
        <f t="shared" ref="L43:O43" si="18">L41</f>
        <v>7</v>
      </c>
      <c r="M43" s="92">
        <f t="shared" si="18"/>
        <v>9</v>
      </c>
      <c r="N43" s="92">
        <f t="shared" si="18"/>
        <v>6</v>
      </c>
      <c r="O43" s="92">
        <f t="shared" si="18"/>
        <v>4</v>
      </c>
      <c r="P43" s="118">
        <f>P41</f>
        <v>0.26923076923076922</v>
      </c>
      <c r="Q43" s="94">
        <f>Q41</f>
        <v>0.34615384615384615</v>
      </c>
      <c r="R43" s="94">
        <f t="shared" ref="R43:S43" si="19">R41</f>
        <v>0.23076923076923078</v>
      </c>
      <c r="S43" s="94">
        <f t="shared" si="19"/>
        <v>0.15384615384615385</v>
      </c>
      <c r="T43" s="41"/>
      <c r="U43" s="41"/>
      <c r="W43" s="95">
        <f>60000/12</f>
        <v>5000</v>
      </c>
      <c r="X43" s="94">
        <f>I43/W43</f>
        <v>0.67068000000000005</v>
      </c>
    </row>
    <row r="44" spans="1:25" x14ac:dyDescent="0.35">
      <c r="B44" s="108"/>
      <c r="C44" s="14"/>
      <c r="D44" s="108"/>
      <c r="E44" s="14"/>
      <c r="J44" s="14"/>
    </row>
    <row r="45" spans="1:25" x14ac:dyDescent="0.35">
      <c r="B45" s="8" t="s">
        <v>106</v>
      </c>
      <c r="C45" s="8" t="s">
        <v>46</v>
      </c>
      <c r="D45" s="63" t="s">
        <v>108</v>
      </c>
      <c r="E45" s="8" t="s">
        <v>987</v>
      </c>
      <c r="F45" s="8" t="s">
        <v>924</v>
      </c>
      <c r="G45" s="8"/>
      <c r="H45" s="8"/>
      <c r="I45" s="8" t="s">
        <v>925</v>
      </c>
      <c r="J45" s="8" t="s">
        <v>926</v>
      </c>
    </row>
    <row r="46" spans="1:25" x14ac:dyDescent="0.35">
      <c r="A46" s="96" t="str">
        <f>D46&amp;" "&amp;C46</f>
        <v>Access AE</v>
      </c>
      <c r="B46" s="101" t="s">
        <v>940</v>
      </c>
      <c r="C46" t="s">
        <v>8</v>
      </c>
      <c r="D46" t="s">
        <v>2</v>
      </c>
      <c r="E46" s="61">
        <f t="shared" ref="E46:E81" si="20">COUNTIFS($I$2:$I$27,$D46,$B$2:$B$27,$B46)</f>
        <v>2</v>
      </c>
      <c r="F46" s="61">
        <f t="shared" ref="F46:F81" si="21">SUMIFS(E$2:E$27,$B$2:$B$27,$B46,$I$2:$I$27,$D46)</f>
        <v>178</v>
      </c>
      <c r="G46" s="61"/>
      <c r="H46" s="61"/>
      <c r="I46" s="84">
        <f t="shared" ref="I46:I81" si="22">IFERROR(VLOOKUP(A46,AE_rates,4,FALSE),0)</f>
        <v>6.089999999999999</v>
      </c>
      <c r="J46" s="40">
        <f>F46*I46</f>
        <v>1084.0199999999998</v>
      </c>
    </row>
    <row r="47" spans="1:25" x14ac:dyDescent="0.35">
      <c r="A47" s="96" t="str">
        <f>D47&amp;" "&amp;C47</f>
        <v>Shared AE</v>
      </c>
      <c r="B47" s="101" t="s">
        <v>940</v>
      </c>
      <c r="C47" t="s">
        <v>8</v>
      </c>
      <c r="D47" t="s">
        <v>931</v>
      </c>
      <c r="E47" s="61">
        <f t="shared" si="20"/>
        <v>1</v>
      </c>
      <c r="F47" s="61">
        <f t="shared" si="21"/>
        <v>50</v>
      </c>
      <c r="G47" s="61"/>
      <c r="H47" s="61"/>
      <c r="I47" s="84">
        <f t="shared" si="22"/>
        <v>7.8299999999999992</v>
      </c>
      <c r="J47" s="40">
        <f t="shared" ref="J47:J49" si="23">F47*I47</f>
        <v>391.49999999999994</v>
      </c>
    </row>
    <row r="48" spans="1:25" x14ac:dyDescent="0.35">
      <c r="A48" s="96" t="str">
        <f>D48&amp;" "&amp;C48</f>
        <v>Exclusive AE</v>
      </c>
      <c r="B48" s="101" t="s">
        <v>940</v>
      </c>
      <c r="C48" t="s">
        <v>8</v>
      </c>
      <c r="D48" t="s">
        <v>927</v>
      </c>
      <c r="E48" s="61">
        <f t="shared" si="20"/>
        <v>0</v>
      </c>
      <c r="F48" s="61">
        <f t="shared" si="21"/>
        <v>0</v>
      </c>
      <c r="G48" s="61"/>
      <c r="H48" s="61"/>
      <c r="I48" s="84">
        <f t="shared" si="22"/>
        <v>9.57</v>
      </c>
      <c r="J48" s="40">
        <f t="shared" si="23"/>
        <v>0</v>
      </c>
    </row>
    <row r="49" spans="1:10" x14ac:dyDescent="0.35">
      <c r="A49" s="96" t="str">
        <f t="shared" ref="A49:A81" si="24">D49&amp;" "&amp;C49</f>
        <v>Bulk AE</v>
      </c>
      <c r="B49" s="101" t="s">
        <v>940</v>
      </c>
      <c r="C49" t="s">
        <v>8</v>
      </c>
      <c r="D49" t="s">
        <v>6</v>
      </c>
      <c r="E49" s="61">
        <f t="shared" si="20"/>
        <v>0</v>
      </c>
      <c r="F49" s="61">
        <f t="shared" si="21"/>
        <v>0</v>
      </c>
      <c r="G49" s="61"/>
      <c r="H49" s="61"/>
      <c r="I49" s="84">
        <f t="shared" si="22"/>
        <v>12.179999999999998</v>
      </c>
      <c r="J49" s="40">
        <f t="shared" si="23"/>
        <v>0</v>
      </c>
    </row>
    <row r="50" spans="1:10" x14ac:dyDescent="0.35">
      <c r="A50" s="96" t="str">
        <f t="shared" si="24"/>
        <v>Access AE</v>
      </c>
      <c r="B50" s="101" t="s">
        <v>941</v>
      </c>
      <c r="C50" t="s">
        <v>8</v>
      </c>
      <c r="D50" t="s">
        <v>2</v>
      </c>
      <c r="E50" s="61">
        <f t="shared" si="20"/>
        <v>1</v>
      </c>
      <c r="F50" s="61">
        <f t="shared" si="21"/>
        <v>162</v>
      </c>
      <c r="G50" s="61"/>
      <c r="H50" s="61"/>
      <c r="I50" s="84">
        <f t="shared" si="22"/>
        <v>6.089999999999999</v>
      </c>
      <c r="J50" s="40">
        <f>F50*I50</f>
        <v>986.57999999999981</v>
      </c>
    </row>
    <row r="51" spans="1:10" x14ac:dyDescent="0.35">
      <c r="A51" s="96" t="str">
        <f t="shared" si="24"/>
        <v>Shared AE</v>
      </c>
      <c r="B51" s="101" t="s">
        <v>941</v>
      </c>
      <c r="C51" t="s">
        <v>8</v>
      </c>
      <c r="D51" t="s">
        <v>931</v>
      </c>
      <c r="E51" s="61">
        <f t="shared" si="20"/>
        <v>1</v>
      </c>
      <c r="F51" s="61">
        <f t="shared" si="21"/>
        <v>186</v>
      </c>
      <c r="G51" s="61"/>
      <c r="H51" s="61"/>
      <c r="I51" s="84">
        <f t="shared" si="22"/>
        <v>7.8299999999999992</v>
      </c>
      <c r="J51" s="40">
        <f t="shared" ref="J51:J53" si="25">F51*I51</f>
        <v>1456.3799999999999</v>
      </c>
    </row>
    <row r="52" spans="1:10" x14ac:dyDescent="0.35">
      <c r="A52" s="96" t="str">
        <f t="shared" si="24"/>
        <v>Exclusive AE</v>
      </c>
      <c r="B52" s="101" t="s">
        <v>941</v>
      </c>
      <c r="C52" t="s">
        <v>8</v>
      </c>
      <c r="D52" t="s">
        <v>927</v>
      </c>
      <c r="E52" s="61">
        <f t="shared" si="20"/>
        <v>1</v>
      </c>
      <c r="F52" s="61">
        <f t="shared" si="21"/>
        <v>117</v>
      </c>
      <c r="G52" s="61"/>
      <c r="H52" s="61"/>
      <c r="I52" s="84">
        <f t="shared" si="22"/>
        <v>9.57</v>
      </c>
      <c r="J52" s="40">
        <f t="shared" si="25"/>
        <v>1119.69</v>
      </c>
    </row>
    <row r="53" spans="1:10" x14ac:dyDescent="0.35">
      <c r="A53" s="96" t="str">
        <f t="shared" si="24"/>
        <v>Bulk AE</v>
      </c>
      <c r="B53" s="101" t="s">
        <v>941</v>
      </c>
      <c r="C53" t="s">
        <v>8</v>
      </c>
      <c r="D53" t="s">
        <v>6</v>
      </c>
      <c r="E53" s="61">
        <f t="shared" si="20"/>
        <v>0</v>
      </c>
      <c r="F53" s="61">
        <f t="shared" si="21"/>
        <v>0</v>
      </c>
      <c r="G53" s="61"/>
      <c r="H53" s="61"/>
      <c r="I53" s="84">
        <f t="shared" si="22"/>
        <v>12.179999999999998</v>
      </c>
      <c r="J53" s="40">
        <f t="shared" si="25"/>
        <v>0</v>
      </c>
    </row>
    <row r="54" spans="1:10" x14ac:dyDescent="0.35">
      <c r="A54" s="96" t="str">
        <f t="shared" si="24"/>
        <v>Access AE</v>
      </c>
      <c r="B54" s="101" t="s">
        <v>942</v>
      </c>
      <c r="C54" t="s">
        <v>8</v>
      </c>
      <c r="D54" t="s">
        <v>2</v>
      </c>
      <c r="E54" s="61">
        <f t="shared" si="20"/>
        <v>0</v>
      </c>
      <c r="F54" s="61">
        <f t="shared" si="21"/>
        <v>0</v>
      </c>
      <c r="G54" s="61"/>
      <c r="H54" s="61"/>
      <c r="I54" s="84">
        <f t="shared" si="22"/>
        <v>6.089999999999999</v>
      </c>
      <c r="J54" s="40">
        <f>F54*I54</f>
        <v>0</v>
      </c>
    </row>
    <row r="55" spans="1:10" x14ac:dyDescent="0.35">
      <c r="A55" s="96" t="str">
        <f t="shared" si="24"/>
        <v>Shared AE</v>
      </c>
      <c r="B55" s="101" t="s">
        <v>942</v>
      </c>
      <c r="C55" t="s">
        <v>8</v>
      </c>
      <c r="D55" t="s">
        <v>931</v>
      </c>
      <c r="E55" s="61">
        <f t="shared" si="20"/>
        <v>0</v>
      </c>
      <c r="F55" s="61">
        <f t="shared" si="21"/>
        <v>0</v>
      </c>
      <c r="G55" s="61"/>
      <c r="H55" s="61"/>
      <c r="I55" s="84">
        <f t="shared" si="22"/>
        <v>7.8299999999999992</v>
      </c>
      <c r="J55" s="40">
        <f t="shared" ref="J55:J57" si="26">F55*I55</f>
        <v>0</v>
      </c>
    </row>
    <row r="56" spans="1:10" x14ac:dyDescent="0.35">
      <c r="A56" s="96" t="str">
        <f t="shared" si="24"/>
        <v>Exclusive AE</v>
      </c>
      <c r="B56" s="101" t="s">
        <v>942</v>
      </c>
      <c r="C56" t="s">
        <v>8</v>
      </c>
      <c r="D56" t="s">
        <v>927</v>
      </c>
      <c r="E56" s="61">
        <f t="shared" si="20"/>
        <v>2</v>
      </c>
      <c r="F56" s="61">
        <f t="shared" si="21"/>
        <v>104</v>
      </c>
      <c r="G56" s="61"/>
      <c r="H56" s="61"/>
      <c r="I56" s="84">
        <f t="shared" si="22"/>
        <v>9.57</v>
      </c>
      <c r="J56" s="40">
        <f t="shared" si="26"/>
        <v>995.28</v>
      </c>
    </row>
    <row r="57" spans="1:10" x14ac:dyDescent="0.35">
      <c r="A57" s="96" t="str">
        <f t="shared" si="24"/>
        <v>Bulk AE</v>
      </c>
      <c r="B57" s="101" t="s">
        <v>942</v>
      </c>
      <c r="C57" t="s">
        <v>8</v>
      </c>
      <c r="D57" t="s">
        <v>6</v>
      </c>
      <c r="E57" s="61">
        <f t="shared" si="20"/>
        <v>0</v>
      </c>
      <c r="F57" s="61">
        <f t="shared" si="21"/>
        <v>0</v>
      </c>
      <c r="G57" s="61"/>
      <c r="H57" s="61"/>
      <c r="I57" s="84">
        <f t="shared" si="22"/>
        <v>12.179999999999998</v>
      </c>
      <c r="J57" s="40">
        <f t="shared" si="26"/>
        <v>0</v>
      </c>
    </row>
    <row r="58" spans="1:10" x14ac:dyDescent="0.35">
      <c r="A58" s="96" t="str">
        <f t="shared" si="24"/>
        <v>Access AE</v>
      </c>
      <c r="B58" t="s">
        <v>111</v>
      </c>
      <c r="C58" t="s">
        <v>8</v>
      </c>
      <c r="D58" t="s">
        <v>2</v>
      </c>
      <c r="E58" s="61">
        <f t="shared" si="20"/>
        <v>3</v>
      </c>
      <c r="F58" s="61">
        <f t="shared" si="21"/>
        <v>385</v>
      </c>
      <c r="G58" s="61"/>
      <c r="H58" s="61"/>
      <c r="I58" s="84">
        <f t="shared" si="22"/>
        <v>6.089999999999999</v>
      </c>
      <c r="J58" s="40">
        <f>F58*I58</f>
        <v>2344.6499999999996</v>
      </c>
    </row>
    <row r="59" spans="1:10" x14ac:dyDescent="0.35">
      <c r="A59" s="96" t="str">
        <f t="shared" si="24"/>
        <v>Shared AE</v>
      </c>
      <c r="B59" t="s">
        <v>111</v>
      </c>
      <c r="C59" t="s">
        <v>8</v>
      </c>
      <c r="D59" t="s">
        <v>931</v>
      </c>
      <c r="E59" s="61">
        <f t="shared" si="20"/>
        <v>1</v>
      </c>
      <c r="F59" s="61">
        <f t="shared" si="21"/>
        <v>77</v>
      </c>
      <c r="G59" s="61"/>
      <c r="H59" s="61"/>
      <c r="I59" s="84">
        <f t="shared" si="22"/>
        <v>7.8299999999999992</v>
      </c>
      <c r="J59" s="40">
        <f t="shared" ref="J59:J61" si="27">F59*I59</f>
        <v>602.91</v>
      </c>
    </row>
    <row r="60" spans="1:10" x14ac:dyDescent="0.35">
      <c r="A60" s="96" t="str">
        <f t="shared" si="24"/>
        <v>Exclusive AE</v>
      </c>
      <c r="B60" t="s">
        <v>111</v>
      </c>
      <c r="C60" t="s">
        <v>8</v>
      </c>
      <c r="D60" t="s">
        <v>927</v>
      </c>
      <c r="E60" s="61">
        <f t="shared" si="20"/>
        <v>0</v>
      </c>
      <c r="F60" s="61">
        <f t="shared" si="21"/>
        <v>0</v>
      </c>
      <c r="G60" s="61"/>
      <c r="H60" s="61"/>
      <c r="I60" s="84">
        <f t="shared" si="22"/>
        <v>9.57</v>
      </c>
      <c r="J60" s="40">
        <f t="shared" si="27"/>
        <v>0</v>
      </c>
    </row>
    <row r="61" spans="1:10" x14ac:dyDescent="0.35">
      <c r="A61" s="96" t="str">
        <f t="shared" si="24"/>
        <v>Bulk AE</v>
      </c>
      <c r="B61" t="s">
        <v>111</v>
      </c>
      <c r="C61" t="s">
        <v>8</v>
      </c>
      <c r="D61" t="s">
        <v>6</v>
      </c>
      <c r="E61" s="61">
        <f t="shared" si="20"/>
        <v>2</v>
      </c>
      <c r="F61" s="61">
        <f t="shared" si="21"/>
        <v>127</v>
      </c>
      <c r="G61" s="61"/>
      <c r="H61" s="61"/>
      <c r="I61" s="84">
        <f t="shared" si="22"/>
        <v>12.179999999999998</v>
      </c>
      <c r="J61" s="40">
        <f t="shared" si="27"/>
        <v>1546.8599999999997</v>
      </c>
    </row>
    <row r="62" spans="1:10" x14ac:dyDescent="0.35">
      <c r="A62" s="96" t="str">
        <f t="shared" si="24"/>
        <v>Access AE</v>
      </c>
      <c r="B62" t="s">
        <v>114</v>
      </c>
      <c r="C62" t="s">
        <v>8</v>
      </c>
      <c r="D62" t="s">
        <v>2</v>
      </c>
      <c r="E62" s="61">
        <f t="shared" si="20"/>
        <v>0</v>
      </c>
      <c r="F62" s="61">
        <f t="shared" si="21"/>
        <v>0</v>
      </c>
      <c r="G62" s="61"/>
      <c r="H62" s="61"/>
      <c r="I62" s="84">
        <f t="shared" si="22"/>
        <v>6.089999999999999</v>
      </c>
      <c r="J62" s="40">
        <f>F62*I62</f>
        <v>0</v>
      </c>
    </row>
    <row r="63" spans="1:10" x14ac:dyDescent="0.35">
      <c r="A63" s="96" t="str">
        <f t="shared" si="24"/>
        <v>Shared AE</v>
      </c>
      <c r="B63" t="s">
        <v>114</v>
      </c>
      <c r="C63" t="s">
        <v>8</v>
      </c>
      <c r="D63" t="s">
        <v>931</v>
      </c>
      <c r="E63" s="61">
        <f t="shared" si="20"/>
        <v>0</v>
      </c>
      <c r="F63" s="61">
        <f t="shared" si="21"/>
        <v>0</v>
      </c>
      <c r="G63" s="61"/>
      <c r="H63" s="61"/>
      <c r="I63" s="84">
        <f t="shared" si="22"/>
        <v>7.8299999999999992</v>
      </c>
      <c r="J63" s="40">
        <f t="shared" ref="J63:J65" si="28">F63*I63</f>
        <v>0</v>
      </c>
    </row>
    <row r="64" spans="1:10" x14ac:dyDescent="0.35">
      <c r="A64" s="96" t="str">
        <f t="shared" si="24"/>
        <v>Exclusive AE</v>
      </c>
      <c r="B64" t="s">
        <v>114</v>
      </c>
      <c r="C64" t="s">
        <v>8</v>
      </c>
      <c r="D64" t="s">
        <v>927</v>
      </c>
      <c r="E64" s="61">
        <f t="shared" si="20"/>
        <v>0</v>
      </c>
      <c r="F64" s="61">
        <f t="shared" si="21"/>
        <v>0</v>
      </c>
      <c r="G64" s="61"/>
      <c r="H64" s="61"/>
      <c r="I64" s="84">
        <f t="shared" si="22"/>
        <v>9.57</v>
      </c>
      <c r="J64" s="40">
        <f t="shared" si="28"/>
        <v>0</v>
      </c>
    </row>
    <row r="65" spans="1:10" x14ac:dyDescent="0.35">
      <c r="A65" s="96" t="str">
        <f t="shared" si="24"/>
        <v>Bulk AE</v>
      </c>
      <c r="B65" t="s">
        <v>114</v>
      </c>
      <c r="C65" t="s">
        <v>8</v>
      </c>
      <c r="D65" t="s">
        <v>6</v>
      </c>
      <c r="E65" s="61">
        <f t="shared" si="20"/>
        <v>0</v>
      </c>
      <c r="F65" s="61">
        <f t="shared" si="21"/>
        <v>0</v>
      </c>
      <c r="G65" s="61"/>
      <c r="H65" s="61"/>
      <c r="I65" s="84">
        <f t="shared" si="22"/>
        <v>12.179999999999998</v>
      </c>
      <c r="J65" s="40">
        <f t="shared" si="28"/>
        <v>0</v>
      </c>
    </row>
    <row r="66" spans="1:10" x14ac:dyDescent="0.35">
      <c r="A66" s="96" t="str">
        <f t="shared" si="24"/>
        <v>Access AE</v>
      </c>
      <c r="B66" t="s">
        <v>117</v>
      </c>
      <c r="C66" t="s">
        <v>8</v>
      </c>
      <c r="D66" t="s">
        <v>2</v>
      </c>
      <c r="E66" s="61">
        <f t="shared" si="20"/>
        <v>1</v>
      </c>
      <c r="F66" s="61">
        <f t="shared" si="21"/>
        <v>113</v>
      </c>
      <c r="G66" s="61"/>
      <c r="H66" s="61"/>
      <c r="I66" s="84">
        <f t="shared" si="22"/>
        <v>6.089999999999999</v>
      </c>
      <c r="J66" s="40">
        <f>F66*I66</f>
        <v>688.16999999999985</v>
      </c>
    </row>
    <row r="67" spans="1:10" x14ac:dyDescent="0.35">
      <c r="A67" s="96" t="str">
        <f t="shared" si="24"/>
        <v>Shared AE</v>
      </c>
      <c r="B67" t="s">
        <v>117</v>
      </c>
      <c r="C67" t="s">
        <v>8</v>
      </c>
      <c r="D67" t="s">
        <v>931</v>
      </c>
      <c r="E67" s="61">
        <f t="shared" si="20"/>
        <v>0</v>
      </c>
      <c r="F67" s="61">
        <f t="shared" si="21"/>
        <v>0</v>
      </c>
      <c r="G67" s="61"/>
      <c r="H67" s="61"/>
      <c r="I67" s="84">
        <f t="shared" si="22"/>
        <v>7.8299999999999992</v>
      </c>
      <c r="J67" s="40">
        <f t="shared" ref="J67:J69" si="29">F67*I67</f>
        <v>0</v>
      </c>
    </row>
    <row r="68" spans="1:10" x14ac:dyDescent="0.35">
      <c r="A68" s="96" t="str">
        <f t="shared" si="24"/>
        <v>Exclusive AE</v>
      </c>
      <c r="B68" t="s">
        <v>117</v>
      </c>
      <c r="C68" t="s">
        <v>8</v>
      </c>
      <c r="D68" t="s">
        <v>927</v>
      </c>
      <c r="E68" s="61">
        <f t="shared" si="20"/>
        <v>5</v>
      </c>
      <c r="F68" s="61">
        <f t="shared" si="21"/>
        <v>625</v>
      </c>
      <c r="G68" s="61"/>
      <c r="H68" s="61"/>
      <c r="I68" s="84">
        <f t="shared" si="22"/>
        <v>9.57</v>
      </c>
      <c r="J68" s="40">
        <f t="shared" si="29"/>
        <v>5981.25</v>
      </c>
    </row>
    <row r="69" spans="1:10" x14ac:dyDescent="0.35">
      <c r="A69" s="96" t="str">
        <f t="shared" si="24"/>
        <v>Bulk AE</v>
      </c>
      <c r="B69" t="s">
        <v>117</v>
      </c>
      <c r="C69" t="s">
        <v>8</v>
      </c>
      <c r="D69" t="s">
        <v>6</v>
      </c>
      <c r="E69" s="61">
        <f t="shared" si="20"/>
        <v>0</v>
      </c>
      <c r="F69" s="61">
        <f t="shared" si="21"/>
        <v>0</v>
      </c>
      <c r="G69" s="61"/>
      <c r="H69" s="61"/>
      <c r="I69" s="84">
        <f t="shared" si="22"/>
        <v>12.179999999999998</v>
      </c>
      <c r="J69" s="40">
        <f t="shared" si="29"/>
        <v>0</v>
      </c>
    </row>
    <row r="70" spans="1:10" x14ac:dyDescent="0.35">
      <c r="A70" s="96" t="str">
        <f t="shared" si="24"/>
        <v>Access AE</v>
      </c>
      <c r="B70" s="101" t="s">
        <v>943</v>
      </c>
      <c r="C70" t="s">
        <v>8</v>
      </c>
      <c r="D70" t="s">
        <v>2</v>
      </c>
      <c r="E70" s="61">
        <f t="shared" si="20"/>
        <v>0</v>
      </c>
      <c r="F70" s="61">
        <f t="shared" si="21"/>
        <v>0</v>
      </c>
      <c r="G70" s="61"/>
      <c r="H70" s="61"/>
      <c r="I70" s="84">
        <f t="shared" si="22"/>
        <v>6.089999999999999</v>
      </c>
      <c r="J70" s="40">
        <f>F70*I70</f>
        <v>0</v>
      </c>
    </row>
    <row r="71" spans="1:10" x14ac:dyDescent="0.35">
      <c r="A71" s="96" t="str">
        <f t="shared" si="24"/>
        <v>Shared AE</v>
      </c>
      <c r="B71" s="101" t="s">
        <v>943</v>
      </c>
      <c r="C71" t="s">
        <v>8</v>
      </c>
      <c r="D71" t="s">
        <v>931</v>
      </c>
      <c r="E71" s="61">
        <f t="shared" si="20"/>
        <v>0</v>
      </c>
      <c r="F71" s="61">
        <f t="shared" si="21"/>
        <v>0</v>
      </c>
      <c r="G71" s="61"/>
      <c r="H71" s="61"/>
      <c r="I71" s="84">
        <f t="shared" si="22"/>
        <v>7.8299999999999992</v>
      </c>
      <c r="J71" s="40">
        <f t="shared" ref="J71:J73" si="30">F71*I71</f>
        <v>0</v>
      </c>
    </row>
    <row r="72" spans="1:10" x14ac:dyDescent="0.35">
      <c r="A72" s="96" t="str">
        <f t="shared" si="24"/>
        <v>Exclusive AE</v>
      </c>
      <c r="B72" s="101" t="s">
        <v>943</v>
      </c>
      <c r="C72" t="s">
        <v>8</v>
      </c>
      <c r="D72" t="s">
        <v>927</v>
      </c>
      <c r="E72" s="61">
        <f t="shared" si="20"/>
        <v>0</v>
      </c>
      <c r="F72" s="61">
        <f t="shared" si="21"/>
        <v>0</v>
      </c>
      <c r="G72" s="61"/>
      <c r="H72" s="61"/>
      <c r="I72" s="84">
        <f t="shared" si="22"/>
        <v>9.57</v>
      </c>
      <c r="J72" s="40">
        <f t="shared" si="30"/>
        <v>0</v>
      </c>
    </row>
    <row r="73" spans="1:10" x14ac:dyDescent="0.35">
      <c r="A73" s="96" t="str">
        <f t="shared" si="24"/>
        <v>Bulk AE</v>
      </c>
      <c r="B73" s="101" t="s">
        <v>943</v>
      </c>
      <c r="C73" t="s">
        <v>8</v>
      </c>
      <c r="D73" t="s">
        <v>6</v>
      </c>
      <c r="E73" s="61">
        <f t="shared" si="20"/>
        <v>1</v>
      </c>
      <c r="F73" s="61">
        <f t="shared" si="21"/>
        <v>108</v>
      </c>
      <c r="G73" s="61"/>
      <c r="H73" s="61"/>
      <c r="I73" s="84">
        <f t="shared" si="22"/>
        <v>12.179999999999998</v>
      </c>
      <c r="J73" s="40">
        <f t="shared" si="30"/>
        <v>1315.4399999999998</v>
      </c>
    </row>
    <row r="74" spans="1:10" x14ac:dyDescent="0.35">
      <c r="A74" s="96" t="str">
        <f t="shared" si="24"/>
        <v>Access AE</v>
      </c>
      <c r="B74" t="s">
        <v>125</v>
      </c>
      <c r="C74" t="s">
        <v>8</v>
      </c>
      <c r="D74" t="s">
        <v>2</v>
      </c>
      <c r="E74" s="61">
        <f t="shared" si="20"/>
        <v>0</v>
      </c>
      <c r="F74" s="61">
        <f t="shared" si="21"/>
        <v>0</v>
      </c>
      <c r="G74" s="61"/>
      <c r="H74" s="61"/>
      <c r="I74" s="84">
        <f t="shared" si="22"/>
        <v>6.089999999999999</v>
      </c>
      <c r="J74" s="40">
        <f>F74*I74</f>
        <v>0</v>
      </c>
    </row>
    <row r="75" spans="1:10" x14ac:dyDescent="0.35">
      <c r="A75" s="96" t="str">
        <f t="shared" si="24"/>
        <v>Shared AE</v>
      </c>
      <c r="B75" t="s">
        <v>125</v>
      </c>
      <c r="C75" t="s">
        <v>8</v>
      </c>
      <c r="D75" t="s">
        <v>931</v>
      </c>
      <c r="E75" s="61">
        <f t="shared" si="20"/>
        <v>3</v>
      </c>
      <c r="F75" s="61">
        <f t="shared" si="21"/>
        <v>182</v>
      </c>
      <c r="G75" s="61"/>
      <c r="H75" s="61"/>
      <c r="I75" s="84">
        <f t="shared" si="22"/>
        <v>7.8299999999999992</v>
      </c>
      <c r="J75" s="40">
        <f t="shared" ref="J75:J77" si="31">F75*I75</f>
        <v>1425.06</v>
      </c>
    </row>
    <row r="76" spans="1:10" x14ac:dyDescent="0.35">
      <c r="A76" s="96" t="str">
        <f t="shared" si="24"/>
        <v>Exclusive AE</v>
      </c>
      <c r="B76" t="s">
        <v>125</v>
      </c>
      <c r="C76" t="s">
        <v>8</v>
      </c>
      <c r="D76" t="s">
        <v>927</v>
      </c>
      <c r="E76" s="61">
        <f t="shared" si="20"/>
        <v>1</v>
      </c>
      <c r="F76" s="61">
        <f t="shared" si="21"/>
        <v>35</v>
      </c>
      <c r="G76" s="61"/>
      <c r="H76" s="61"/>
      <c r="I76" s="84">
        <f t="shared" si="22"/>
        <v>9.57</v>
      </c>
      <c r="J76" s="40">
        <f t="shared" si="31"/>
        <v>334.95</v>
      </c>
    </row>
    <row r="77" spans="1:10" x14ac:dyDescent="0.35">
      <c r="A77" s="96" t="str">
        <f t="shared" si="24"/>
        <v>Bulk AE</v>
      </c>
      <c r="B77" t="s">
        <v>125</v>
      </c>
      <c r="C77" t="s">
        <v>8</v>
      </c>
      <c r="D77" t="s">
        <v>6</v>
      </c>
      <c r="E77" s="61">
        <f t="shared" si="20"/>
        <v>1</v>
      </c>
      <c r="F77" s="61">
        <f t="shared" si="21"/>
        <v>60</v>
      </c>
      <c r="G77" s="61"/>
      <c r="H77" s="61"/>
      <c r="I77" s="84">
        <f t="shared" si="22"/>
        <v>12.179999999999998</v>
      </c>
      <c r="J77" s="40">
        <f t="shared" si="31"/>
        <v>730.79999999999984</v>
      </c>
    </row>
    <row r="78" spans="1:10" x14ac:dyDescent="0.35">
      <c r="A78" s="96" t="str">
        <f t="shared" si="24"/>
        <v>Access Natl AE</v>
      </c>
      <c r="B78" t="s">
        <v>120</v>
      </c>
      <c r="C78" t="s">
        <v>44</v>
      </c>
      <c r="D78" t="s">
        <v>2</v>
      </c>
      <c r="E78" s="61">
        <f t="shared" si="20"/>
        <v>0</v>
      </c>
      <c r="F78" s="61">
        <f t="shared" si="21"/>
        <v>0</v>
      </c>
      <c r="G78" s="61"/>
      <c r="H78" s="61"/>
      <c r="I78" s="84">
        <f t="shared" si="22"/>
        <v>7.7769999999999992</v>
      </c>
      <c r="J78" s="40">
        <f>F78*I78</f>
        <v>0</v>
      </c>
    </row>
    <row r="79" spans="1:10" x14ac:dyDescent="0.35">
      <c r="A79" s="96" t="str">
        <f t="shared" si="24"/>
        <v>Shared Natl AE</v>
      </c>
      <c r="B79" t="s">
        <v>120</v>
      </c>
      <c r="C79" t="s">
        <v>44</v>
      </c>
      <c r="D79" t="s">
        <v>931</v>
      </c>
      <c r="E79" s="61">
        <f t="shared" si="20"/>
        <v>0</v>
      </c>
      <c r="F79" s="61">
        <f t="shared" si="21"/>
        <v>0</v>
      </c>
      <c r="G79" s="61"/>
      <c r="H79" s="61"/>
      <c r="I79" s="84">
        <f t="shared" si="22"/>
        <v>9.9990000000000006</v>
      </c>
      <c r="J79" s="40">
        <f t="shared" ref="J79:J81" si="32">F79*I79</f>
        <v>0</v>
      </c>
    </row>
    <row r="80" spans="1:10" x14ac:dyDescent="0.35">
      <c r="A80" s="96" t="str">
        <f t="shared" si="24"/>
        <v>Exclusive Natl AE</v>
      </c>
      <c r="B80" t="s">
        <v>120</v>
      </c>
      <c r="C80" t="s">
        <v>44</v>
      </c>
      <c r="D80" t="s">
        <v>927</v>
      </c>
      <c r="E80" s="61">
        <f t="shared" si="20"/>
        <v>0</v>
      </c>
      <c r="F80" s="61">
        <f t="shared" si="21"/>
        <v>0</v>
      </c>
      <c r="G80" s="61"/>
      <c r="H80" s="61"/>
      <c r="I80" s="84">
        <f t="shared" si="22"/>
        <v>12.221</v>
      </c>
      <c r="J80" s="40">
        <f t="shared" si="32"/>
        <v>0</v>
      </c>
    </row>
    <row r="81" spans="1:10" x14ac:dyDescent="0.35">
      <c r="A81" s="96" t="str">
        <f t="shared" si="24"/>
        <v>Bulk Natl AE</v>
      </c>
      <c r="B81" t="s">
        <v>120</v>
      </c>
      <c r="C81" t="s">
        <v>44</v>
      </c>
      <c r="D81" t="s">
        <v>6</v>
      </c>
      <c r="E81" s="61">
        <f t="shared" si="20"/>
        <v>0</v>
      </c>
      <c r="F81" s="61">
        <f t="shared" si="21"/>
        <v>0</v>
      </c>
      <c r="G81" s="61"/>
      <c r="H81" s="61"/>
      <c r="I81" s="84">
        <f t="shared" si="22"/>
        <v>15.553999999999998</v>
      </c>
      <c r="J81" s="40">
        <f t="shared" si="32"/>
        <v>0</v>
      </c>
    </row>
    <row r="82" spans="1:10" ht="15" thickBot="1" x14ac:dyDescent="0.4">
      <c r="B82" s="85"/>
      <c r="C82" s="85"/>
      <c r="D82" s="85"/>
      <c r="E82" s="98">
        <f>SUM(E46:E81)</f>
        <v>26</v>
      </c>
      <c r="F82" s="98">
        <f>SUM(F46:F81)</f>
        <v>2509</v>
      </c>
      <c r="G82" s="98"/>
      <c r="H82" s="98"/>
      <c r="I82" s="85"/>
      <c r="J82" s="98">
        <f>SUM(J46:J81)</f>
        <v>21003.54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5CC1-86F2-4E60-9923-D4414888BC0B}">
  <dimension ref="B2:Q19"/>
  <sheetViews>
    <sheetView showGridLines="0" zoomScale="80" zoomScaleNormal="80" workbookViewId="0">
      <selection activeCell="N39" sqref="N39"/>
    </sheetView>
  </sheetViews>
  <sheetFormatPr defaultRowHeight="14.5" x14ac:dyDescent="0.35"/>
  <cols>
    <col min="2" max="2" width="29.90625" customWidth="1"/>
    <col min="3" max="3" width="17.81640625" customWidth="1"/>
    <col min="4" max="4" width="12.36328125" customWidth="1"/>
    <col min="5" max="5" width="12.90625" customWidth="1"/>
    <col min="6" max="17" width="15" customWidth="1"/>
  </cols>
  <sheetData>
    <row r="2" spans="2:17" x14ac:dyDescent="0.35">
      <c r="B2" s="8" t="s">
        <v>71</v>
      </c>
      <c r="C2" s="8" t="s">
        <v>46</v>
      </c>
      <c r="D2" s="8"/>
      <c r="E2" s="29" t="s">
        <v>78</v>
      </c>
      <c r="F2" s="16" t="s">
        <v>1006</v>
      </c>
      <c r="G2" s="16" t="s">
        <v>1007</v>
      </c>
      <c r="H2" s="16" t="s">
        <v>1008</v>
      </c>
      <c r="I2" s="16" t="s">
        <v>1009</v>
      </c>
      <c r="J2" s="16" t="s">
        <v>1010</v>
      </c>
      <c r="K2" s="16" t="s">
        <v>1011</v>
      </c>
      <c r="L2" s="16" t="s">
        <v>1012</v>
      </c>
      <c r="M2" s="16" t="s">
        <v>1013</v>
      </c>
      <c r="N2" s="16" t="s">
        <v>1014</v>
      </c>
      <c r="O2" s="16" t="s">
        <v>1015</v>
      </c>
      <c r="P2" s="16" t="s">
        <v>1016</v>
      </c>
      <c r="Q2" s="16" t="s">
        <v>1017</v>
      </c>
    </row>
    <row r="3" spans="2:17" x14ac:dyDescent="0.35">
      <c r="B3" s="9" t="s">
        <v>70</v>
      </c>
      <c r="C3" s="9" t="s">
        <v>47</v>
      </c>
      <c r="D3" s="10" t="s">
        <v>1021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spans="2:17" x14ac:dyDescent="0.35">
      <c r="B4" t="s">
        <v>72</v>
      </c>
      <c r="C4" t="s">
        <v>73</v>
      </c>
      <c r="D4" s="11" t="s">
        <v>1021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2:17" x14ac:dyDescent="0.35"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2:17" x14ac:dyDescent="0.35">
      <c r="B6" s="12"/>
      <c r="C6" s="12"/>
      <c r="D6" s="12"/>
      <c r="E6" s="8" t="s">
        <v>1020</v>
      </c>
      <c r="F6" s="16" t="s">
        <v>1006</v>
      </c>
      <c r="G6" s="16" t="s">
        <v>1007</v>
      </c>
      <c r="H6" s="16" t="s">
        <v>1008</v>
      </c>
      <c r="I6" s="16" t="s">
        <v>1009</v>
      </c>
      <c r="J6" s="16" t="s">
        <v>1010</v>
      </c>
      <c r="K6" s="16" t="s">
        <v>1011</v>
      </c>
      <c r="L6" s="16" t="s">
        <v>1012</v>
      </c>
      <c r="M6" s="16" t="s">
        <v>1013</v>
      </c>
      <c r="N6" s="16" t="s">
        <v>1014</v>
      </c>
      <c r="O6" s="16" t="s">
        <v>1015</v>
      </c>
      <c r="P6" s="16" t="s">
        <v>1016</v>
      </c>
      <c r="Q6" s="16" t="s">
        <v>1017</v>
      </c>
    </row>
    <row r="7" spans="2:17" x14ac:dyDescent="0.35">
      <c r="B7" t="s">
        <v>74</v>
      </c>
      <c r="C7" s="9" t="s">
        <v>47</v>
      </c>
      <c r="D7" s="28" t="s">
        <v>1019</v>
      </c>
      <c r="F7" s="39">
        <f>($E8*F8)+($E9*F9)</f>
        <v>1200</v>
      </c>
      <c r="G7" s="39">
        <f t="shared" ref="G7:Q7" si="0">($E8*G8)+($E9*G9)</f>
        <v>1200</v>
      </c>
      <c r="H7" s="39">
        <f t="shared" si="0"/>
        <v>1200</v>
      </c>
      <c r="I7" s="39">
        <f>($E8*I8)+($E9*I9)</f>
        <v>1520</v>
      </c>
      <c r="J7" s="39">
        <f t="shared" si="0"/>
        <v>1520</v>
      </c>
      <c r="K7" s="39">
        <f t="shared" si="0"/>
        <v>1520</v>
      </c>
      <c r="L7" s="39">
        <f t="shared" si="0"/>
        <v>1885</v>
      </c>
      <c r="M7" s="39">
        <f t="shared" si="0"/>
        <v>1885</v>
      </c>
      <c r="N7" s="39">
        <f t="shared" si="0"/>
        <v>1885</v>
      </c>
      <c r="O7" s="39">
        <f t="shared" si="0"/>
        <v>1275</v>
      </c>
      <c r="P7" s="39">
        <f t="shared" si="0"/>
        <v>1275</v>
      </c>
      <c r="Q7" s="39">
        <f t="shared" si="0"/>
        <v>1275</v>
      </c>
    </row>
    <row r="8" spans="2:17" x14ac:dyDescent="0.35">
      <c r="B8" t="s">
        <v>1005</v>
      </c>
      <c r="C8" t="s">
        <v>1002</v>
      </c>
      <c r="E8" s="28">
        <v>3</v>
      </c>
      <c r="F8" s="61">
        <v>300</v>
      </c>
      <c r="G8" s="61">
        <v>300</v>
      </c>
      <c r="H8" s="61">
        <v>300</v>
      </c>
      <c r="I8" s="61">
        <v>390</v>
      </c>
      <c r="J8" s="61">
        <v>390</v>
      </c>
      <c r="K8" s="61">
        <v>390</v>
      </c>
      <c r="L8" s="61">
        <v>495</v>
      </c>
      <c r="M8" s="61">
        <v>495</v>
      </c>
      <c r="N8" s="61">
        <v>495</v>
      </c>
      <c r="O8" s="61">
        <v>325</v>
      </c>
      <c r="P8" s="61">
        <v>325</v>
      </c>
      <c r="Q8" s="61">
        <v>325</v>
      </c>
    </row>
    <row r="9" spans="2:17" x14ac:dyDescent="0.35">
      <c r="B9" s="12" t="s">
        <v>1018</v>
      </c>
      <c r="C9" s="12" t="s">
        <v>1003</v>
      </c>
      <c r="D9" s="12"/>
      <c r="E9" s="13">
        <v>1</v>
      </c>
      <c r="F9" s="13">
        <v>300</v>
      </c>
      <c r="G9" s="13">
        <v>300</v>
      </c>
      <c r="H9" s="13">
        <v>300</v>
      </c>
      <c r="I9" s="13">
        <v>350</v>
      </c>
      <c r="J9" s="13">
        <v>350</v>
      </c>
      <c r="K9" s="13">
        <v>350</v>
      </c>
      <c r="L9" s="13">
        <v>400</v>
      </c>
      <c r="M9" s="13">
        <v>400</v>
      </c>
      <c r="N9" s="13">
        <v>400</v>
      </c>
      <c r="O9" s="13">
        <v>300</v>
      </c>
      <c r="P9" s="13">
        <v>300</v>
      </c>
      <c r="Q9" s="13">
        <v>300</v>
      </c>
    </row>
    <row r="11" spans="2:17" x14ac:dyDescent="0.35">
      <c r="C11" s="18" t="s">
        <v>60</v>
      </c>
      <c r="D11" s="17"/>
      <c r="E11" s="18"/>
      <c r="F11" s="17"/>
      <c r="G11" s="20" t="s">
        <v>57</v>
      </c>
      <c r="H11" s="19"/>
    </row>
    <row r="12" spans="2:17" x14ac:dyDescent="0.35">
      <c r="B12" s="8" t="s">
        <v>49</v>
      </c>
      <c r="C12" s="8" t="s">
        <v>75</v>
      </c>
      <c r="D12" s="8" t="s">
        <v>76</v>
      </c>
      <c r="E12" s="30" t="s">
        <v>75</v>
      </c>
      <c r="F12" s="8" t="s">
        <v>76</v>
      </c>
      <c r="G12" s="23" t="s">
        <v>58</v>
      </c>
      <c r="H12" s="22" t="s">
        <v>59</v>
      </c>
    </row>
    <row r="13" spans="2:17" x14ac:dyDescent="0.35">
      <c r="B13" t="s">
        <v>1002</v>
      </c>
      <c r="C13" t="s">
        <v>77</v>
      </c>
      <c r="D13" t="s">
        <v>77</v>
      </c>
      <c r="E13" s="9" t="s">
        <v>1518</v>
      </c>
      <c r="F13" s="122" t="s">
        <v>61</v>
      </c>
      <c r="G13" s="24" t="s">
        <v>50</v>
      </c>
      <c r="H13" s="21" t="s">
        <v>56</v>
      </c>
    </row>
    <row r="14" spans="2:17" x14ac:dyDescent="0.35">
      <c r="B14" t="s">
        <v>1003</v>
      </c>
      <c r="C14" t="s">
        <v>77</v>
      </c>
      <c r="D14" t="s">
        <v>77</v>
      </c>
      <c r="E14" s="148" t="s">
        <v>1518</v>
      </c>
      <c r="F14" s="123" t="s">
        <v>61</v>
      </c>
      <c r="G14" s="24" t="s">
        <v>50</v>
      </c>
      <c r="H14" s="21" t="s">
        <v>56</v>
      </c>
      <c r="I14" t="s">
        <v>1004</v>
      </c>
    </row>
    <row r="15" spans="2:17" x14ac:dyDescent="0.35">
      <c r="B15" s="12" t="s">
        <v>54</v>
      </c>
      <c r="C15" s="12" t="s">
        <v>77</v>
      </c>
      <c r="D15" s="12" t="s">
        <v>77</v>
      </c>
      <c r="E15" s="12" t="s">
        <v>1518</v>
      </c>
      <c r="F15" s="48" t="s">
        <v>61</v>
      </c>
      <c r="G15" s="26" t="s">
        <v>50</v>
      </c>
      <c r="H15" s="25" t="s">
        <v>56</v>
      </c>
    </row>
    <row r="17" spans="2:9" x14ac:dyDescent="0.35">
      <c r="B17" s="8" t="s">
        <v>66</v>
      </c>
      <c r="C17" s="8"/>
      <c r="D17" s="8"/>
      <c r="E17" s="8"/>
      <c r="F17" s="8"/>
      <c r="G17" s="8"/>
      <c r="H17" s="8"/>
      <c r="I17" s="8"/>
    </row>
    <row r="18" spans="2:9" x14ac:dyDescent="0.35">
      <c r="B18" t="s">
        <v>73</v>
      </c>
      <c r="C18" t="s">
        <v>1507</v>
      </c>
    </row>
    <row r="19" spans="2:9" x14ac:dyDescent="0.35">
      <c r="B19" t="s">
        <v>54</v>
      </c>
      <c r="C19" t="s">
        <v>79</v>
      </c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0178-5660-4D84-ACD0-C1648ED9EABA}">
  <dimension ref="A1:G820"/>
  <sheetViews>
    <sheetView workbookViewId="0">
      <selection activeCell="F2" sqref="F2:G2"/>
    </sheetView>
  </sheetViews>
  <sheetFormatPr defaultRowHeight="14.5" x14ac:dyDescent="0.35"/>
  <cols>
    <col min="1" max="1" width="19.36328125" customWidth="1"/>
    <col min="2" max="2" width="14.6328125" customWidth="1"/>
    <col min="3" max="3" width="12.7265625" customWidth="1"/>
    <col min="5" max="5" width="21.81640625" customWidth="1"/>
  </cols>
  <sheetData>
    <row r="1" spans="1:7" x14ac:dyDescent="0.3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1100</v>
      </c>
      <c r="G1" t="s">
        <v>1101</v>
      </c>
    </row>
    <row r="2" spans="1:7" x14ac:dyDescent="0.35">
      <c r="A2" t="s">
        <v>920</v>
      </c>
      <c r="B2" t="s">
        <v>140</v>
      </c>
      <c r="C2" t="s">
        <v>141</v>
      </c>
      <c r="D2" t="s">
        <v>142</v>
      </c>
      <c r="E2" t="s">
        <v>143</v>
      </c>
      <c r="F2" t="s">
        <v>1102</v>
      </c>
      <c r="G2" t="s">
        <v>1103</v>
      </c>
    </row>
    <row r="3" spans="1:7" x14ac:dyDescent="0.35">
      <c r="A3" t="s">
        <v>920</v>
      </c>
      <c r="B3" t="s">
        <v>144</v>
      </c>
      <c r="C3" t="s">
        <v>145</v>
      </c>
      <c r="D3" t="s">
        <v>142</v>
      </c>
      <c r="E3" t="s">
        <v>143</v>
      </c>
      <c r="F3" t="s">
        <v>1104</v>
      </c>
      <c r="G3" t="s">
        <v>1105</v>
      </c>
    </row>
    <row r="4" spans="1:7" x14ac:dyDescent="0.35">
      <c r="A4" t="s">
        <v>920</v>
      </c>
      <c r="B4" t="s">
        <v>146</v>
      </c>
      <c r="C4" t="s">
        <v>145</v>
      </c>
      <c r="D4" t="s">
        <v>142</v>
      </c>
      <c r="E4" t="s">
        <v>143</v>
      </c>
      <c r="F4" t="s">
        <v>1106</v>
      </c>
      <c r="G4" t="s">
        <v>1107</v>
      </c>
    </row>
    <row r="5" spans="1:7" x14ac:dyDescent="0.35">
      <c r="A5" t="s">
        <v>920</v>
      </c>
      <c r="B5" t="s">
        <v>147</v>
      </c>
      <c r="C5" t="s">
        <v>145</v>
      </c>
      <c r="D5" t="s">
        <v>142</v>
      </c>
      <c r="E5" t="s">
        <v>143</v>
      </c>
      <c r="F5" t="s">
        <v>1104</v>
      </c>
      <c r="G5" t="s">
        <v>1105</v>
      </c>
    </row>
    <row r="6" spans="1:7" x14ac:dyDescent="0.35">
      <c r="A6" t="s">
        <v>920</v>
      </c>
      <c r="B6" t="s">
        <v>148</v>
      </c>
      <c r="C6" t="s">
        <v>145</v>
      </c>
      <c r="D6" t="s">
        <v>142</v>
      </c>
      <c r="E6" t="s">
        <v>149</v>
      </c>
      <c r="F6" t="s">
        <v>1104</v>
      </c>
      <c r="G6" t="s">
        <v>1105</v>
      </c>
    </row>
    <row r="7" spans="1:7" x14ac:dyDescent="0.35">
      <c r="A7" t="s">
        <v>920</v>
      </c>
      <c r="B7" t="s">
        <v>150</v>
      </c>
      <c r="C7" t="s">
        <v>145</v>
      </c>
      <c r="D7" t="s">
        <v>142</v>
      </c>
      <c r="E7" t="s">
        <v>149</v>
      </c>
      <c r="F7" t="s">
        <v>1104</v>
      </c>
      <c r="G7" t="s">
        <v>1105</v>
      </c>
    </row>
    <row r="8" spans="1:7" x14ac:dyDescent="0.35">
      <c r="A8" t="s">
        <v>920</v>
      </c>
      <c r="B8" t="s">
        <v>151</v>
      </c>
      <c r="C8" t="s">
        <v>145</v>
      </c>
      <c r="D8" t="s">
        <v>142</v>
      </c>
      <c r="E8" t="s">
        <v>149</v>
      </c>
      <c r="F8" t="s">
        <v>1104</v>
      </c>
      <c r="G8" t="s">
        <v>1105</v>
      </c>
    </row>
    <row r="9" spans="1:7" x14ac:dyDescent="0.35">
      <c r="A9" t="s">
        <v>920</v>
      </c>
      <c r="B9" t="s">
        <v>152</v>
      </c>
      <c r="C9" t="s">
        <v>145</v>
      </c>
      <c r="D9" t="s">
        <v>142</v>
      </c>
      <c r="E9" t="s">
        <v>153</v>
      </c>
      <c r="F9" t="s">
        <v>1104</v>
      </c>
      <c r="G9" t="s">
        <v>1105</v>
      </c>
    </row>
    <row r="10" spans="1:7" x14ac:dyDescent="0.35">
      <c r="A10" t="s">
        <v>920</v>
      </c>
      <c r="B10" t="s">
        <v>154</v>
      </c>
      <c r="C10" t="s">
        <v>145</v>
      </c>
      <c r="D10" t="s">
        <v>142</v>
      </c>
      <c r="E10" t="s">
        <v>153</v>
      </c>
      <c r="F10" t="s">
        <v>1104</v>
      </c>
      <c r="G10" t="s">
        <v>1105</v>
      </c>
    </row>
    <row r="11" spans="1:7" x14ac:dyDescent="0.35">
      <c r="A11" t="s">
        <v>920</v>
      </c>
      <c r="B11" t="s">
        <v>155</v>
      </c>
      <c r="C11" t="s">
        <v>145</v>
      </c>
      <c r="D11" t="s">
        <v>142</v>
      </c>
      <c r="E11" t="s">
        <v>156</v>
      </c>
      <c r="F11" t="s">
        <v>1108</v>
      </c>
      <c r="G11" t="s">
        <v>1109</v>
      </c>
    </row>
    <row r="12" spans="1:7" x14ac:dyDescent="0.35">
      <c r="A12" t="s">
        <v>920</v>
      </c>
      <c r="B12" t="s">
        <v>157</v>
      </c>
      <c r="C12" t="s">
        <v>145</v>
      </c>
      <c r="D12" t="s">
        <v>142</v>
      </c>
      <c r="E12" t="s">
        <v>156</v>
      </c>
      <c r="F12" t="s">
        <v>1108</v>
      </c>
      <c r="G12" t="s">
        <v>1109</v>
      </c>
    </row>
    <row r="13" spans="1:7" x14ac:dyDescent="0.35">
      <c r="A13" t="s">
        <v>920</v>
      </c>
      <c r="B13" t="s">
        <v>158</v>
      </c>
      <c r="C13" t="s">
        <v>145</v>
      </c>
      <c r="D13" t="s">
        <v>142</v>
      </c>
      <c r="E13" t="s">
        <v>156</v>
      </c>
      <c r="F13" t="s">
        <v>1104</v>
      </c>
      <c r="G13" t="s">
        <v>1105</v>
      </c>
    </row>
    <row r="14" spans="1:7" x14ac:dyDescent="0.35">
      <c r="A14" t="s">
        <v>920</v>
      </c>
      <c r="B14" t="s">
        <v>159</v>
      </c>
      <c r="C14" t="s">
        <v>145</v>
      </c>
      <c r="D14" t="s">
        <v>142</v>
      </c>
      <c r="E14" t="s">
        <v>156</v>
      </c>
      <c r="F14" t="s">
        <v>1104</v>
      </c>
      <c r="G14" t="s">
        <v>1105</v>
      </c>
    </row>
    <row r="15" spans="1:7" x14ac:dyDescent="0.35">
      <c r="A15" t="s">
        <v>920</v>
      </c>
      <c r="B15" t="s">
        <v>160</v>
      </c>
      <c r="C15" t="s">
        <v>145</v>
      </c>
      <c r="D15" t="s">
        <v>142</v>
      </c>
      <c r="E15" t="s">
        <v>156</v>
      </c>
      <c r="F15" t="s">
        <v>1108</v>
      </c>
      <c r="G15" t="s">
        <v>1109</v>
      </c>
    </row>
    <row r="16" spans="1:7" x14ac:dyDescent="0.35">
      <c r="A16" t="s">
        <v>920</v>
      </c>
      <c r="B16" t="s">
        <v>161</v>
      </c>
      <c r="C16" t="s">
        <v>145</v>
      </c>
      <c r="D16" t="s">
        <v>142</v>
      </c>
      <c r="E16" t="s">
        <v>162</v>
      </c>
      <c r="F16" t="s">
        <v>1104</v>
      </c>
      <c r="G16" t="s">
        <v>1105</v>
      </c>
    </row>
    <row r="17" spans="1:7" x14ac:dyDescent="0.35">
      <c r="A17" t="s">
        <v>920</v>
      </c>
      <c r="B17" t="s">
        <v>163</v>
      </c>
      <c r="C17" t="s">
        <v>145</v>
      </c>
      <c r="D17" t="s">
        <v>142</v>
      </c>
      <c r="E17" t="s">
        <v>162</v>
      </c>
      <c r="F17" t="s">
        <v>1106</v>
      </c>
      <c r="G17" t="s">
        <v>1107</v>
      </c>
    </row>
    <row r="18" spans="1:7" x14ac:dyDescent="0.35">
      <c r="A18" t="s">
        <v>920</v>
      </c>
      <c r="B18" t="s">
        <v>164</v>
      </c>
      <c r="C18" t="s">
        <v>145</v>
      </c>
      <c r="D18" t="s">
        <v>142</v>
      </c>
      <c r="E18" t="s">
        <v>165</v>
      </c>
      <c r="F18" t="s">
        <v>1110</v>
      </c>
      <c r="G18" t="s">
        <v>1105</v>
      </c>
    </row>
    <row r="19" spans="1:7" x14ac:dyDescent="0.35">
      <c r="A19" t="s">
        <v>920</v>
      </c>
      <c r="B19" t="s">
        <v>166</v>
      </c>
      <c r="C19" t="s">
        <v>145</v>
      </c>
      <c r="D19" t="s">
        <v>142</v>
      </c>
      <c r="E19" t="s">
        <v>167</v>
      </c>
      <c r="F19" t="s">
        <v>1108</v>
      </c>
      <c r="G19" t="s">
        <v>1109</v>
      </c>
    </row>
    <row r="20" spans="1:7" x14ac:dyDescent="0.35">
      <c r="A20" t="s">
        <v>920</v>
      </c>
      <c r="B20" t="s">
        <v>168</v>
      </c>
      <c r="C20" t="s">
        <v>145</v>
      </c>
      <c r="D20" t="s">
        <v>142</v>
      </c>
      <c r="E20" t="s">
        <v>167</v>
      </c>
      <c r="F20" t="s">
        <v>1110</v>
      </c>
      <c r="G20" t="s">
        <v>1105</v>
      </c>
    </row>
    <row r="21" spans="1:7" x14ac:dyDescent="0.35">
      <c r="A21" t="s">
        <v>920</v>
      </c>
      <c r="B21" t="s">
        <v>169</v>
      </c>
      <c r="C21" t="s">
        <v>145</v>
      </c>
      <c r="D21" t="s">
        <v>142</v>
      </c>
      <c r="E21" t="s">
        <v>170</v>
      </c>
      <c r="F21" t="s">
        <v>1106</v>
      </c>
      <c r="G21" t="s">
        <v>1107</v>
      </c>
    </row>
    <row r="22" spans="1:7" x14ac:dyDescent="0.35">
      <c r="A22" t="s">
        <v>920</v>
      </c>
      <c r="B22" t="s">
        <v>171</v>
      </c>
      <c r="C22" t="s">
        <v>145</v>
      </c>
      <c r="D22" t="s">
        <v>142</v>
      </c>
      <c r="E22" t="s">
        <v>170</v>
      </c>
      <c r="F22" t="s">
        <v>1108</v>
      </c>
      <c r="G22" t="s">
        <v>1109</v>
      </c>
    </row>
    <row r="23" spans="1:7" x14ac:dyDescent="0.35">
      <c r="A23" t="s">
        <v>920</v>
      </c>
      <c r="B23" t="s">
        <v>172</v>
      </c>
      <c r="C23" t="s">
        <v>145</v>
      </c>
      <c r="D23" t="s">
        <v>142</v>
      </c>
      <c r="E23" t="s">
        <v>173</v>
      </c>
      <c r="F23" t="s">
        <v>1110</v>
      </c>
      <c r="G23" t="s">
        <v>1105</v>
      </c>
    </row>
    <row r="24" spans="1:7" x14ac:dyDescent="0.35">
      <c r="A24" t="s">
        <v>920</v>
      </c>
      <c r="B24" t="s">
        <v>174</v>
      </c>
      <c r="C24" t="s">
        <v>145</v>
      </c>
      <c r="D24" t="s">
        <v>142</v>
      </c>
      <c r="E24" t="s">
        <v>173</v>
      </c>
      <c r="F24" t="s">
        <v>1104</v>
      </c>
      <c r="G24" t="s">
        <v>1105</v>
      </c>
    </row>
    <row r="25" spans="1:7" x14ac:dyDescent="0.35">
      <c r="A25" t="s">
        <v>920</v>
      </c>
      <c r="B25" t="s">
        <v>175</v>
      </c>
      <c r="C25" t="s">
        <v>145</v>
      </c>
      <c r="D25" t="s">
        <v>142</v>
      </c>
      <c r="E25" t="s">
        <v>173</v>
      </c>
      <c r="F25" t="s">
        <v>1104</v>
      </c>
      <c r="G25" t="s">
        <v>1105</v>
      </c>
    </row>
    <row r="26" spans="1:7" x14ac:dyDescent="0.35">
      <c r="A26" t="s">
        <v>920</v>
      </c>
      <c r="B26" t="s">
        <v>176</v>
      </c>
      <c r="C26" t="s">
        <v>145</v>
      </c>
      <c r="D26" t="s">
        <v>142</v>
      </c>
      <c r="E26" t="s">
        <v>173</v>
      </c>
      <c r="F26" t="s">
        <v>1104</v>
      </c>
      <c r="G26" t="s">
        <v>1105</v>
      </c>
    </row>
    <row r="27" spans="1:7" x14ac:dyDescent="0.35">
      <c r="A27" t="s">
        <v>920</v>
      </c>
      <c r="B27" t="s">
        <v>177</v>
      </c>
      <c r="C27" t="s">
        <v>145</v>
      </c>
      <c r="D27" t="s">
        <v>142</v>
      </c>
      <c r="E27" t="s">
        <v>178</v>
      </c>
      <c r="F27" t="s">
        <v>1111</v>
      </c>
      <c r="G27" t="s">
        <v>1112</v>
      </c>
    </row>
    <row r="28" spans="1:7" x14ac:dyDescent="0.35">
      <c r="A28" t="s">
        <v>920</v>
      </c>
      <c r="B28" t="s">
        <v>179</v>
      </c>
      <c r="C28" t="s">
        <v>145</v>
      </c>
      <c r="D28" t="s">
        <v>142</v>
      </c>
      <c r="E28" t="s">
        <v>178</v>
      </c>
      <c r="F28" t="s">
        <v>1104</v>
      </c>
      <c r="G28" t="s">
        <v>1105</v>
      </c>
    </row>
    <row r="29" spans="1:7" x14ac:dyDescent="0.35">
      <c r="A29" t="s">
        <v>920</v>
      </c>
      <c r="B29" t="s">
        <v>180</v>
      </c>
      <c r="C29" t="s">
        <v>145</v>
      </c>
      <c r="D29" t="s">
        <v>142</v>
      </c>
      <c r="E29" t="s">
        <v>178</v>
      </c>
      <c r="F29" t="s">
        <v>1108</v>
      </c>
      <c r="G29" t="s">
        <v>1109</v>
      </c>
    </row>
    <row r="30" spans="1:7" x14ac:dyDescent="0.35">
      <c r="A30" t="s">
        <v>920</v>
      </c>
      <c r="B30" t="s">
        <v>181</v>
      </c>
      <c r="C30" t="s">
        <v>145</v>
      </c>
      <c r="D30" t="s">
        <v>142</v>
      </c>
      <c r="E30" t="s">
        <v>178</v>
      </c>
      <c r="F30" t="s">
        <v>1104</v>
      </c>
      <c r="G30" t="s">
        <v>1105</v>
      </c>
    </row>
    <row r="31" spans="1:7" x14ac:dyDescent="0.35">
      <c r="A31" t="s">
        <v>920</v>
      </c>
      <c r="B31" t="s">
        <v>182</v>
      </c>
      <c r="C31" t="s">
        <v>145</v>
      </c>
      <c r="D31" t="s">
        <v>142</v>
      </c>
      <c r="E31" t="s">
        <v>183</v>
      </c>
      <c r="F31" t="s">
        <v>1104</v>
      </c>
      <c r="G31" t="s">
        <v>1105</v>
      </c>
    </row>
    <row r="32" spans="1:7" x14ac:dyDescent="0.35">
      <c r="A32" t="s">
        <v>920</v>
      </c>
      <c r="B32" t="s">
        <v>184</v>
      </c>
      <c r="C32" t="s">
        <v>141</v>
      </c>
      <c r="D32" t="s">
        <v>142</v>
      </c>
      <c r="E32" t="s">
        <v>183</v>
      </c>
      <c r="F32" t="s">
        <v>1102</v>
      </c>
      <c r="G32" t="s">
        <v>1103</v>
      </c>
    </row>
    <row r="33" spans="1:7" x14ac:dyDescent="0.35">
      <c r="A33" t="s">
        <v>920</v>
      </c>
      <c r="B33" t="s">
        <v>185</v>
      </c>
      <c r="C33" t="s">
        <v>145</v>
      </c>
      <c r="D33" t="s">
        <v>142</v>
      </c>
      <c r="E33" t="s">
        <v>183</v>
      </c>
      <c r="F33" t="s">
        <v>1104</v>
      </c>
      <c r="G33" t="s">
        <v>1105</v>
      </c>
    </row>
    <row r="34" spans="1:7" x14ac:dyDescent="0.35">
      <c r="A34" t="s">
        <v>920</v>
      </c>
      <c r="B34" t="s">
        <v>186</v>
      </c>
      <c r="C34" t="s">
        <v>141</v>
      </c>
      <c r="D34" t="s">
        <v>142</v>
      </c>
      <c r="E34" t="s">
        <v>183</v>
      </c>
      <c r="F34" t="s">
        <v>1102</v>
      </c>
      <c r="G34" t="s">
        <v>1103</v>
      </c>
    </row>
    <row r="35" spans="1:7" x14ac:dyDescent="0.35">
      <c r="A35" t="s">
        <v>920</v>
      </c>
      <c r="B35" t="s">
        <v>187</v>
      </c>
      <c r="C35" t="s">
        <v>145</v>
      </c>
      <c r="D35" t="s">
        <v>142</v>
      </c>
      <c r="E35" t="s">
        <v>183</v>
      </c>
      <c r="F35" t="s">
        <v>1104</v>
      </c>
      <c r="G35" t="s">
        <v>1105</v>
      </c>
    </row>
    <row r="36" spans="1:7" x14ac:dyDescent="0.35">
      <c r="A36" t="s">
        <v>920</v>
      </c>
      <c r="B36" t="s">
        <v>188</v>
      </c>
      <c r="C36" t="s">
        <v>145</v>
      </c>
      <c r="D36" t="s">
        <v>142</v>
      </c>
      <c r="E36" t="s">
        <v>189</v>
      </c>
      <c r="F36" t="s">
        <v>1104</v>
      </c>
      <c r="G36" t="s">
        <v>1105</v>
      </c>
    </row>
    <row r="37" spans="1:7" x14ac:dyDescent="0.35">
      <c r="A37" t="s">
        <v>920</v>
      </c>
      <c r="B37" t="s">
        <v>190</v>
      </c>
      <c r="C37" t="s">
        <v>145</v>
      </c>
      <c r="D37" t="s">
        <v>142</v>
      </c>
      <c r="E37" t="s">
        <v>191</v>
      </c>
      <c r="F37" t="s">
        <v>1104</v>
      </c>
      <c r="G37" t="s">
        <v>1105</v>
      </c>
    </row>
    <row r="38" spans="1:7" x14ac:dyDescent="0.35">
      <c r="A38" t="s">
        <v>920</v>
      </c>
      <c r="B38" t="s">
        <v>192</v>
      </c>
      <c r="C38" t="s">
        <v>145</v>
      </c>
      <c r="D38" t="s">
        <v>142</v>
      </c>
      <c r="E38" t="s">
        <v>191</v>
      </c>
      <c r="F38" t="s">
        <v>1104</v>
      </c>
      <c r="G38" t="s">
        <v>1105</v>
      </c>
    </row>
    <row r="39" spans="1:7" x14ac:dyDescent="0.35">
      <c r="A39" t="s">
        <v>920</v>
      </c>
      <c r="B39" t="s">
        <v>193</v>
      </c>
      <c r="C39" t="s">
        <v>145</v>
      </c>
      <c r="D39" t="s">
        <v>142</v>
      </c>
      <c r="E39" t="s">
        <v>191</v>
      </c>
      <c r="F39" t="s">
        <v>1106</v>
      </c>
      <c r="G39" t="s">
        <v>1107</v>
      </c>
    </row>
    <row r="40" spans="1:7" x14ac:dyDescent="0.35">
      <c r="A40" t="s">
        <v>920</v>
      </c>
      <c r="B40" t="s">
        <v>194</v>
      </c>
      <c r="C40" t="s">
        <v>145</v>
      </c>
      <c r="D40" t="s">
        <v>142</v>
      </c>
      <c r="E40" t="s">
        <v>191</v>
      </c>
      <c r="F40" t="s">
        <v>1104</v>
      </c>
      <c r="G40" t="s">
        <v>1105</v>
      </c>
    </row>
    <row r="41" spans="1:7" x14ac:dyDescent="0.35">
      <c r="A41" t="s">
        <v>920</v>
      </c>
      <c r="B41" t="s">
        <v>195</v>
      </c>
      <c r="C41" t="s">
        <v>145</v>
      </c>
      <c r="D41" t="s">
        <v>142</v>
      </c>
      <c r="E41" t="s">
        <v>196</v>
      </c>
      <c r="F41" t="s">
        <v>1102</v>
      </c>
      <c r="G41" t="s">
        <v>1103</v>
      </c>
    </row>
    <row r="42" spans="1:7" x14ac:dyDescent="0.35">
      <c r="A42" t="s">
        <v>920</v>
      </c>
      <c r="B42" t="s">
        <v>1113</v>
      </c>
      <c r="C42" t="s">
        <v>145</v>
      </c>
      <c r="D42" t="s">
        <v>142</v>
      </c>
      <c r="E42" t="s">
        <v>196</v>
      </c>
      <c r="F42" t="s">
        <v>1104</v>
      </c>
      <c r="G42" t="s">
        <v>1105</v>
      </c>
    </row>
    <row r="43" spans="1:7" x14ac:dyDescent="0.35">
      <c r="A43" t="s">
        <v>920</v>
      </c>
      <c r="B43" t="s">
        <v>1114</v>
      </c>
      <c r="C43" t="s">
        <v>145</v>
      </c>
      <c r="D43" t="s">
        <v>142</v>
      </c>
      <c r="E43" t="s">
        <v>196</v>
      </c>
      <c r="F43" t="s">
        <v>1104</v>
      </c>
      <c r="G43" t="s">
        <v>1105</v>
      </c>
    </row>
    <row r="44" spans="1:7" x14ac:dyDescent="0.35">
      <c r="A44" t="s">
        <v>920</v>
      </c>
      <c r="B44" t="s">
        <v>1115</v>
      </c>
      <c r="C44" t="s">
        <v>145</v>
      </c>
      <c r="D44" t="s">
        <v>142</v>
      </c>
      <c r="E44" t="s">
        <v>196</v>
      </c>
      <c r="F44" t="s">
        <v>1106</v>
      </c>
      <c r="G44" t="s">
        <v>1107</v>
      </c>
    </row>
    <row r="45" spans="1:7" x14ac:dyDescent="0.35">
      <c r="A45" t="s">
        <v>920</v>
      </c>
      <c r="B45" t="s">
        <v>1116</v>
      </c>
      <c r="C45" t="s">
        <v>145</v>
      </c>
      <c r="D45" t="s">
        <v>142</v>
      </c>
      <c r="E45" t="s">
        <v>1117</v>
      </c>
      <c r="F45" t="s">
        <v>1104</v>
      </c>
      <c r="G45" t="s">
        <v>1105</v>
      </c>
    </row>
    <row r="46" spans="1:7" x14ac:dyDescent="0.35">
      <c r="A46" t="s">
        <v>920</v>
      </c>
      <c r="B46" t="s">
        <v>1118</v>
      </c>
      <c r="C46" t="s">
        <v>141</v>
      </c>
      <c r="D46" t="s">
        <v>142</v>
      </c>
      <c r="E46" t="s">
        <v>1117</v>
      </c>
      <c r="F46" t="s">
        <v>1102</v>
      </c>
      <c r="G46" t="s">
        <v>1103</v>
      </c>
    </row>
    <row r="47" spans="1:7" x14ac:dyDescent="0.35">
      <c r="A47" t="s">
        <v>920</v>
      </c>
      <c r="B47" t="s">
        <v>1119</v>
      </c>
      <c r="C47" t="s">
        <v>145</v>
      </c>
      <c r="D47" t="s">
        <v>142</v>
      </c>
      <c r="E47" t="s">
        <v>1117</v>
      </c>
      <c r="F47" t="s">
        <v>1104</v>
      </c>
      <c r="G47" t="s">
        <v>1105</v>
      </c>
    </row>
    <row r="48" spans="1:7" x14ac:dyDescent="0.35">
      <c r="A48" t="s">
        <v>920</v>
      </c>
      <c r="B48" t="s">
        <v>197</v>
      </c>
      <c r="C48" t="s">
        <v>145</v>
      </c>
      <c r="D48" t="s">
        <v>198</v>
      </c>
      <c r="E48" t="s">
        <v>149</v>
      </c>
      <c r="F48" t="s">
        <v>1120</v>
      </c>
      <c r="G48" t="s">
        <v>1121</v>
      </c>
    </row>
    <row r="49" spans="1:7" x14ac:dyDescent="0.35">
      <c r="A49" t="s">
        <v>920</v>
      </c>
      <c r="B49" t="s">
        <v>199</v>
      </c>
      <c r="C49" t="s">
        <v>145</v>
      </c>
      <c r="D49" t="s">
        <v>198</v>
      </c>
      <c r="E49" t="s">
        <v>153</v>
      </c>
      <c r="F49" t="s">
        <v>1120</v>
      </c>
      <c r="G49" t="s">
        <v>1121</v>
      </c>
    </row>
    <row r="50" spans="1:7" x14ac:dyDescent="0.35">
      <c r="A50" t="s">
        <v>920</v>
      </c>
      <c r="B50" t="s">
        <v>200</v>
      </c>
      <c r="C50" t="s">
        <v>145</v>
      </c>
      <c r="D50" t="s">
        <v>198</v>
      </c>
      <c r="E50" t="s">
        <v>162</v>
      </c>
      <c r="F50" t="s">
        <v>1120</v>
      </c>
      <c r="G50" t="s">
        <v>1121</v>
      </c>
    </row>
    <row r="51" spans="1:7" x14ac:dyDescent="0.35">
      <c r="A51" t="s">
        <v>920</v>
      </c>
      <c r="B51" t="s">
        <v>201</v>
      </c>
      <c r="C51" t="s">
        <v>145</v>
      </c>
      <c r="D51" t="s">
        <v>198</v>
      </c>
      <c r="E51" t="s">
        <v>162</v>
      </c>
      <c r="F51" t="s">
        <v>1120</v>
      </c>
      <c r="G51" t="s">
        <v>1121</v>
      </c>
    </row>
    <row r="52" spans="1:7" x14ac:dyDescent="0.35">
      <c r="A52" t="s">
        <v>920</v>
      </c>
      <c r="B52" t="s">
        <v>202</v>
      </c>
      <c r="C52" t="s">
        <v>145</v>
      </c>
      <c r="D52" t="s">
        <v>198</v>
      </c>
      <c r="E52" t="s">
        <v>162</v>
      </c>
      <c r="F52" t="s">
        <v>1120</v>
      </c>
      <c r="G52" t="s">
        <v>1121</v>
      </c>
    </row>
    <row r="53" spans="1:7" x14ac:dyDescent="0.35">
      <c r="A53" t="s">
        <v>920</v>
      </c>
      <c r="B53" t="s">
        <v>203</v>
      </c>
      <c r="C53" t="s">
        <v>145</v>
      </c>
      <c r="D53" t="s">
        <v>198</v>
      </c>
      <c r="E53" t="s">
        <v>178</v>
      </c>
      <c r="F53" t="s">
        <v>1120</v>
      </c>
      <c r="G53" t="s">
        <v>1121</v>
      </c>
    </row>
    <row r="54" spans="1:7" x14ac:dyDescent="0.35">
      <c r="A54" t="s">
        <v>920</v>
      </c>
      <c r="B54" t="s">
        <v>204</v>
      </c>
      <c r="C54" t="s">
        <v>145</v>
      </c>
      <c r="D54" t="s">
        <v>198</v>
      </c>
      <c r="E54" t="s">
        <v>178</v>
      </c>
      <c r="F54" t="s">
        <v>1120</v>
      </c>
      <c r="G54" t="s">
        <v>1121</v>
      </c>
    </row>
    <row r="55" spans="1:7" x14ac:dyDescent="0.35">
      <c r="A55" t="s">
        <v>920</v>
      </c>
      <c r="B55" t="s">
        <v>205</v>
      </c>
      <c r="C55" t="s">
        <v>145</v>
      </c>
      <c r="D55" t="s">
        <v>198</v>
      </c>
      <c r="E55" t="s">
        <v>178</v>
      </c>
      <c r="F55" t="s">
        <v>1120</v>
      </c>
      <c r="G55" t="s">
        <v>1121</v>
      </c>
    </row>
    <row r="56" spans="1:7" x14ac:dyDescent="0.35">
      <c r="A56" t="s">
        <v>920</v>
      </c>
      <c r="B56" t="s">
        <v>206</v>
      </c>
      <c r="C56" t="s">
        <v>207</v>
      </c>
      <c r="D56" t="s">
        <v>198</v>
      </c>
      <c r="E56" t="s">
        <v>189</v>
      </c>
      <c r="F56" t="s">
        <v>1120</v>
      </c>
      <c r="G56" t="s">
        <v>1121</v>
      </c>
    </row>
    <row r="57" spans="1:7" x14ac:dyDescent="0.35">
      <c r="A57" t="s">
        <v>920</v>
      </c>
      <c r="B57" t="s">
        <v>1122</v>
      </c>
      <c r="C57" t="s">
        <v>145</v>
      </c>
      <c r="D57" t="s">
        <v>198</v>
      </c>
      <c r="E57" t="s">
        <v>196</v>
      </c>
      <c r="F57" t="s">
        <v>1120</v>
      </c>
      <c r="G57" t="s">
        <v>1121</v>
      </c>
    </row>
    <row r="58" spans="1:7" x14ac:dyDescent="0.35">
      <c r="A58" t="s">
        <v>920</v>
      </c>
      <c r="B58" t="s">
        <v>208</v>
      </c>
      <c r="C58" t="s">
        <v>145</v>
      </c>
      <c r="D58" t="s">
        <v>209</v>
      </c>
      <c r="E58" t="s">
        <v>170</v>
      </c>
      <c r="F58" t="s">
        <v>1123</v>
      </c>
      <c r="G58" t="s">
        <v>1124</v>
      </c>
    </row>
    <row r="59" spans="1:7" x14ac:dyDescent="0.35">
      <c r="A59" t="s">
        <v>920</v>
      </c>
      <c r="B59" t="s">
        <v>210</v>
      </c>
      <c r="C59" t="s">
        <v>141</v>
      </c>
      <c r="D59" t="s">
        <v>209</v>
      </c>
      <c r="E59" t="s">
        <v>178</v>
      </c>
      <c r="F59" t="s">
        <v>1125</v>
      </c>
      <c r="G59" t="s">
        <v>1126</v>
      </c>
    </row>
    <row r="60" spans="1:7" x14ac:dyDescent="0.35">
      <c r="A60" t="s">
        <v>920</v>
      </c>
      <c r="B60" t="s">
        <v>1127</v>
      </c>
      <c r="C60" t="s">
        <v>207</v>
      </c>
      <c r="D60" t="s">
        <v>209</v>
      </c>
      <c r="E60" t="s">
        <v>1117</v>
      </c>
      <c r="F60" t="s">
        <v>1123</v>
      </c>
      <c r="G60" t="s">
        <v>1124</v>
      </c>
    </row>
    <row r="61" spans="1:7" x14ac:dyDescent="0.35">
      <c r="A61" t="s">
        <v>920</v>
      </c>
      <c r="B61" t="s">
        <v>211</v>
      </c>
      <c r="C61" t="s">
        <v>212</v>
      </c>
      <c r="D61" t="s">
        <v>213</v>
      </c>
      <c r="E61" t="s">
        <v>214</v>
      </c>
      <c r="F61" t="s">
        <v>1128</v>
      </c>
      <c r="G61" t="s">
        <v>1129</v>
      </c>
    </row>
    <row r="62" spans="1:7" x14ac:dyDescent="0.35">
      <c r="A62" t="s">
        <v>920</v>
      </c>
      <c r="B62" t="s">
        <v>215</v>
      </c>
      <c r="C62" t="s">
        <v>145</v>
      </c>
      <c r="D62" t="s">
        <v>213</v>
      </c>
      <c r="E62" t="s">
        <v>214</v>
      </c>
      <c r="F62" t="s">
        <v>1130</v>
      </c>
      <c r="G62" t="s">
        <v>1131</v>
      </c>
    </row>
    <row r="63" spans="1:7" x14ac:dyDescent="0.35">
      <c r="A63" t="s">
        <v>920</v>
      </c>
      <c r="B63" t="s">
        <v>216</v>
      </c>
      <c r="C63" t="s">
        <v>217</v>
      </c>
      <c r="D63" t="s">
        <v>213</v>
      </c>
      <c r="E63" t="s">
        <v>214</v>
      </c>
      <c r="F63" t="s">
        <v>1132</v>
      </c>
      <c r="G63" t="s">
        <v>1133</v>
      </c>
    </row>
    <row r="64" spans="1:7" x14ac:dyDescent="0.35">
      <c r="A64" t="s">
        <v>920</v>
      </c>
      <c r="B64" t="s">
        <v>218</v>
      </c>
      <c r="C64" t="s">
        <v>145</v>
      </c>
      <c r="D64" t="s">
        <v>213</v>
      </c>
      <c r="E64" t="s">
        <v>214</v>
      </c>
      <c r="F64" t="s">
        <v>1132</v>
      </c>
      <c r="G64" t="s">
        <v>1133</v>
      </c>
    </row>
    <row r="65" spans="1:7" x14ac:dyDescent="0.35">
      <c r="A65" t="s">
        <v>920</v>
      </c>
      <c r="B65" t="s">
        <v>219</v>
      </c>
      <c r="C65" t="s">
        <v>145</v>
      </c>
      <c r="D65" t="s">
        <v>213</v>
      </c>
      <c r="E65" t="s">
        <v>214</v>
      </c>
      <c r="F65" t="s">
        <v>1130</v>
      </c>
      <c r="G65" t="s">
        <v>1131</v>
      </c>
    </row>
    <row r="66" spans="1:7" x14ac:dyDescent="0.35">
      <c r="A66" t="s">
        <v>920</v>
      </c>
      <c r="B66" t="s">
        <v>220</v>
      </c>
      <c r="C66" t="s">
        <v>141</v>
      </c>
      <c r="D66" t="s">
        <v>213</v>
      </c>
      <c r="E66" t="s">
        <v>143</v>
      </c>
      <c r="F66" t="s">
        <v>1128</v>
      </c>
      <c r="G66" t="s">
        <v>1134</v>
      </c>
    </row>
    <row r="67" spans="1:7" x14ac:dyDescent="0.35">
      <c r="A67" t="s">
        <v>920</v>
      </c>
      <c r="B67" t="s">
        <v>221</v>
      </c>
      <c r="C67" t="s">
        <v>141</v>
      </c>
      <c r="D67" t="s">
        <v>213</v>
      </c>
      <c r="E67" t="s">
        <v>143</v>
      </c>
      <c r="F67" t="s">
        <v>1135</v>
      </c>
      <c r="G67" t="s">
        <v>1136</v>
      </c>
    </row>
    <row r="68" spans="1:7" x14ac:dyDescent="0.35">
      <c r="A68" t="s">
        <v>920</v>
      </c>
      <c r="B68" t="s">
        <v>222</v>
      </c>
      <c r="C68" t="s">
        <v>145</v>
      </c>
      <c r="D68" t="s">
        <v>213</v>
      </c>
      <c r="E68" t="s">
        <v>143</v>
      </c>
      <c r="F68" t="s">
        <v>1137</v>
      </c>
      <c r="G68" t="s">
        <v>1138</v>
      </c>
    </row>
    <row r="69" spans="1:7" x14ac:dyDescent="0.35">
      <c r="A69" t="s">
        <v>920</v>
      </c>
      <c r="B69" t="s">
        <v>223</v>
      </c>
      <c r="C69" t="s">
        <v>207</v>
      </c>
      <c r="D69" t="s">
        <v>213</v>
      </c>
      <c r="E69" t="s">
        <v>143</v>
      </c>
      <c r="F69" t="s">
        <v>1128</v>
      </c>
      <c r="G69" t="s">
        <v>1134</v>
      </c>
    </row>
    <row r="70" spans="1:7" x14ac:dyDescent="0.35">
      <c r="A70" t="s">
        <v>920</v>
      </c>
      <c r="B70" t="s">
        <v>224</v>
      </c>
      <c r="C70" t="s">
        <v>207</v>
      </c>
      <c r="D70" t="s">
        <v>213</v>
      </c>
      <c r="E70" t="s">
        <v>143</v>
      </c>
      <c r="F70" t="s">
        <v>1139</v>
      </c>
      <c r="G70" t="s">
        <v>1140</v>
      </c>
    </row>
    <row r="71" spans="1:7" x14ac:dyDescent="0.35">
      <c r="A71" t="s">
        <v>920</v>
      </c>
      <c r="B71" t="s">
        <v>225</v>
      </c>
      <c r="C71" t="s">
        <v>145</v>
      </c>
      <c r="D71" t="s">
        <v>213</v>
      </c>
      <c r="E71" t="s">
        <v>143</v>
      </c>
      <c r="F71" t="s">
        <v>1132</v>
      </c>
      <c r="G71" t="s">
        <v>1133</v>
      </c>
    </row>
    <row r="72" spans="1:7" x14ac:dyDescent="0.35">
      <c r="A72" t="s">
        <v>920</v>
      </c>
      <c r="B72" t="s">
        <v>226</v>
      </c>
      <c r="C72" t="s">
        <v>145</v>
      </c>
      <c r="D72" t="s">
        <v>213</v>
      </c>
      <c r="E72" t="s">
        <v>143</v>
      </c>
      <c r="F72" t="s">
        <v>1130</v>
      </c>
      <c r="G72" t="s">
        <v>1131</v>
      </c>
    </row>
    <row r="73" spans="1:7" x14ac:dyDescent="0.35">
      <c r="A73" t="s">
        <v>920</v>
      </c>
      <c r="B73" t="s">
        <v>227</v>
      </c>
      <c r="C73" t="s">
        <v>141</v>
      </c>
      <c r="D73" t="s">
        <v>213</v>
      </c>
      <c r="E73" t="s">
        <v>149</v>
      </c>
      <c r="F73" t="s">
        <v>1141</v>
      </c>
      <c r="G73" t="s">
        <v>1142</v>
      </c>
    </row>
    <row r="74" spans="1:7" x14ac:dyDescent="0.35">
      <c r="A74" t="s">
        <v>920</v>
      </c>
      <c r="B74" t="s">
        <v>228</v>
      </c>
      <c r="C74" t="s">
        <v>207</v>
      </c>
      <c r="D74" t="s">
        <v>213</v>
      </c>
      <c r="E74" t="s">
        <v>149</v>
      </c>
      <c r="F74" t="s">
        <v>1128</v>
      </c>
      <c r="G74" t="s">
        <v>1129</v>
      </c>
    </row>
    <row r="75" spans="1:7" x14ac:dyDescent="0.35">
      <c r="A75" t="s">
        <v>920</v>
      </c>
      <c r="B75" t="s">
        <v>229</v>
      </c>
      <c r="C75" t="s">
        <v>145</v>
      </c>
      <c r="D75" t="s">
        <v>213</v>
      </c>
      <c r="E75" t="s">
        <v>149</v>
      </c>
      <c r="F75" t="s">
        <v>1132</v>
      </c>
      <c r="G75" t="s">
        <v>1133</v>
      </c>
    </row>
    <row r="76" spans="1:7" x14ac:dyDescent="0.35">
      <c r="A76" t="s">
        <v>920</v>
      </c>
      <c r="B76" t="s">
        <v>230</v>
      </c>
      <c r="C76" t="s">
        <v>207</v>
      </c>
      <c r="D76" t="s">
        <v>213</v>
      </c>
      <c r="E76" t="s">
        <v>149</v>
      </c>
      <c r="F76" t="s">
        <v>1143</v>
      </c>
      <c r="G76" t="s">
        <v>1144</v>
      </c>
    </row>
    <row r="77" spans="1:7" x14ac:dyDescent="0.35">
      <c r="A77" t="s">
        <v>920</v>
      </c>
      <c r="B77" t="s">
        <v>231</v>
      </c>
      <c r="C77" t="s">
        <v>207</v>
      </c>
      <c r="D77" t="s">
        <v>213</v>
      </c>
      <c r="E77" t="s">
        <v>149</v>
      </c>
      <c r="F77" t="s">
        <v>1139</v>
      </c>
      <c r="G77" t="s">
        <v>1140</v>
      </c>
    </row>
    <row r="78" spans="1:7" x14ac:dyDescent="0.35">
      <c r="A78" t="s">
        <v>920</v>
      </c>
      <c r="B78" t="s">
        <v>232</v>
      </c>
      <c r="C78" t="s">
        <v>233</v>
      </c>
      <c r="D78" t="s">
        <v>213</v>
      </c>
      <c r="E78" t="s">
        <v>153</v>
      </c>
      <c r="F78" t="s">
        <v>1145</v>
      </c>
      <c r="G78" t="s">
        <v>1146</v>
      </c>
    </row>
    <row r="79" spans="1:7" x14ac:dyDescent="0.35">
      <c r="A79" t="s">
        <v>920</v>
      </c>
      <c r="B79" t="s">
        <v>234</v>
      </c>
      <c r="C79" t="s">
        <v>145</v>
      </c>
      <c r="D79" t="s">
        <v>213</v>
      </c>
      <c r="E79" t="s">
        <v>153</v>
      </c>
      <c r="F79" t="s">
        <v>1135</v>
      </c>
      <c r="G79" t="s">
        <v>1136</v>
      </c>
    </row>
    <row r="80" spans="1:7" x14ac:dyDescent="0.35">
      <c r="A80" t="s">
        <v>920</v>
      </c>
      <c r="B80" t="s">
        <v>235</v>
      </c>
      <c r="C80" t="s">
        <v>145</v>
      </c>
      <c r="D80" t="s">
        <v>213</v>
      </c>
      <c r="E80" t="s">
        <v>153</v>
      </c>
      <c r="F80" t="s">
        <v>1132</v>
      </c>
      <c r="G80" t="s">
        <v>1133</v>
      </c>
    </row>
    <row r="81" spans="1:7" x14ac:dyDescent="0.35">
      <c r="A81" t="s">
        <v>920</v>
      </c>
      <c r="B81" t="s">
        <v>236</v>
      </c>
      <c r="C81" t="s">
        <v>145</v>
      </c>
      <c r="D81" t="s">
        <v>213</v>
      </c>
      <c r="E81" t="s">
        <v>153</v>
      </c>
      <c r="F81" t="s">
        <v>1132</v>
      </c>
      <c r="G81" t="s">
        <v>1133</v>
      </c>
    </row>
    <row r="82" spans="1:7" x14ac:dyDescent="0.35">
      <c r="A82" t="s">
        <v>920</v>
      </c>
      <c r="B82" t="s">
        <v>237</v>
      </c>
      <c r="C82" t="s">
        <v>141</v>
      </c>
      <c r="D82" t="s">
        <v>213</v>
      </c>
      <c r="E82" t="s">
        <v>153</v>
      </c>
      <c r="F82" t="s">
        <v>1145</v>
      </c>
      <c r="G82" t="s">
        <v>1146</v>
      </c>
    </row>
    <row r="83" spans="1:7" x14ac:dyDescent="0.35">
      <c r="A83" t="s">
        <v>920</v>
      </c>
      <c r="B83" t="s">
        <v>238</v>
      </c>
      <c r="C83" t="s">
        <v>239</v>
      </c>
      <c r="D83" t="s">
        <v>213</v>
      </c>
      <c r="E83" t="s">
        <v>153</v>
      </c>
      <c r="F83" t="s">
        <v>1147</v>
      </c>
      <c r="G83" t="s">
        <v>1148</v>
      </c>
    </row>
    <row r="84" spans="1:7" x14ac:dyDescent="0.35">
      <c r="A84" t="s">
        <v>920</v>
      </c>
      <c r="B84" t="s">
        <v>240</v>
      </c>
      <c r="C84" t="s">
        <v>207</v>
      </c>
      <c r="D84" t="s">
        <v>213</v>
      </c>
      <c r="E84" t="s">
        <v>153</v>
      </c>
      <c r="F84" t="s">
        <v>1128</v>
      </c>
      <c r="G84" t="s">
        <v>1134</v>
      </c>
    </row>
    <row r="85" spans="1:7" x14ac:dyDescent="0.35">
      <c r="A85" t="s">
        <v>920</v>
      </c>
      <c r="B85" t="s">
        <v>241</v>
      </c>
      <c r="C85" t="s">
        <v>145</v>
      </c>
      <c r="D85" t="s">
        <v>213</v>
      </c>
      <c r="E85" t="s">
        <v>153</v>
      </c>
      <c r="F85" t="s">
        <v>1149</v>
      </c>
      <c r="G85" t="s">
        <v>1150</v>
      </c>
    </row>
    <row r="86" spans="1:7" x14ac:dyDescent="0.35">
      <c r="A86" t="s">
        <v>920</v>
      </c>
      <c r="B86" t="s">
        <v>242</v>
      </c>
      <c r="C86" t="s">
        <v>141</v>
      </c>
      <c r="D86" t="s">
        <v>213</v>
      </c>
      <c r="E86" t="s">
        <v>153</v>
      </c>
      <c r="F86" t="s">
        <v>1147</v>
      </c>
      <c r="G86" t="s">
        <v>1148</v>
      </c>
    </row>
    <row r="87" spans="1:7" x14ac:dyDescent="0.35">
      <c r="A87" t="s">
        <v>920</v>
      </c>
      <c r="B87" t="s">
        <v>243</v>
      </c>
      <c r="C87" t="s">
        <v>141</v>
      </c>
      <c r="D87" t="s">
        <v>213</v>
      </c>
      <c r="E87" t="s">
        <v>156</v>
      </c>
      <c r="F87" t="s">
        <v>1135</v>
      </c>
      <c r="G87" t="s">
        <v>1136</v>
      </c>
    </row>
    <row r="88" spans="1:7" x14ac:dyDescent="0.35">
      <c r="A88" t="s">
        <v>920</v>
      </c>
      <c r="B88" t="s">
        <v>244</v>
      </c>
      <c r="C88" t="s">
        <v>217</v>
      </c>
      <c r="D88" t="s">
        <v>213</v>
      </c>
      <c r="E88" t="s">
        <v>156</v>
      </c>
      <c r="F88" t="s">
        <v>1128</v>
      </c>
      <c r="G88" t="s">
        <v>1134</v>
      </c>
    </row>
    <row r="89" spans="1:7" x14ac:dyDescent="0.35">
      <c r="A89" t="s">
        <v>920</v>
      </c>
      <c r="B89" t="s">
        <v>245</v>
      </c>
      <c r="C89" t="s">
        <v>145</v>
      </c>
      <c r="D89" t="s">
        <v>213</v>
      </c>
      <c r="E89" t="s">
        <v>156</v>
      </c>
      <c r="F89" t="s">
        <v>1132</v>
      </c>
      <c r="G89" t="s">
        <v>1133</v>
      </c>
    </row>
    <row r="90" spans="1:7" x14ac:dyDescent="0.35">
      <c r="A90" t="s">
        <v>920</v>
      </c>
      <c r="B90" t="s">
        <v>246</v>
      </c>
      <c r="C90" t="s">
        <v>145</v>
      </c>
      <c r="D90" t="s">
        <v>213</v>
      </c>
      <c r="E90" t="s">
        <v>156</v>
      </c>
      <c r="F90" t="s">
        <v>1132</v>
      </c>
      <c r="G90" t="s">
        <v>1133</v>
      </c>
    </row>
    <row r="91" spans="1:7" x14ac:dyDescent="0.35">
      <c r="A91" t="s">
        <v>920</v>
      </c>
      <c r="B91" t="s">
        <v>247</v>
      </c>
      <c r="C91" t="s">
        <v>145</v>
      </c>
      <c r="D91" t="s">
        <v>213</v>
      </c>
      <c r="E91" t="s">
        <v>156</v>
      </c>
      <c r="F91" t="s">
        <v>1132</v>
      </c>
      <c r="G91" t="s">
        <v>1133</v>
      </c>
    </row>
    <row r="92" spans="1:7" x14ac:dyDescent="0.35">
      <c r="A92" t="s">
        <v>920</v>
      </c>
      <c r="B92" t="s">
        <v>248</v>
      </c>
      <c r="C92" t="s">
        <v>145</v>
      </c>
      <c r="D92" t="s">
        <v>213</v>
      </c>
      <c r="E92" t="s">
        <v>156</v>
      </c>
      <c r="F92" t="s">
        <v>1132</v>
      </c>
      <c r="G92" t="s">
        <v>1133</v>
      </c>
    </row>
    <row r="93" spans="1:7" x14ac:dyDescent="0.35">
      <c r="A93" t="s">
        <v>920</v>
      </c>
      <c r="B93" t="s">
        <v>249</v>
      </c>
      <c r="C93" t="s">
        <v>145</v>
      </c>
      <c r="D93" t="s">
        <v>213</v>
      </c>
      <c r="E93" t="s">
        <v>156</v>
      </c>
      <c r="F93" t="s">
        <v>1137</v>
      </c>
      <c r="G93" t="s">
        <v>1138</v>
      </c>
    </row>
    <row r="94" spans="1:7" x14ac:dyDescent="0.35">
      <c r="A94" t="s">
        <v>920</v>
      </c>
      <c r="B94" t="s">
        <v>250</v>
      </c>
      <c r="C94" t="s">
        <v>145</v>
      </c>
      <c r="D94" t="s">
        <v>213</v>
      </c>
      <c r="E94" t="s">
        <v>162</v>
      </c>
      <c r="F94" t="s">
        <v>1132</v>
      </c>
      <c r="G94" t="s">
        <v>1133</v>
      </c>
    </row>
    <row r="95" spans="1:7" x14ac:dyDescent="0.35">
      <c r="A95" t="s">
        <v>920</v>
      </c>
      <c r="B95" t="s">
        <v>251</v>
      </c>
      <c r="C95" t="s">
        <v>145</v>
      </c>
      <c r="D95" t="s">
        <v>213</v>
      </c>
      <c r="E95" t="s">
        <v>162</v>
      </c>
      <c r="F95" t="s">
        <v>1132</v>
      </c>
      <c r="G95" t="s">
        <v>1133</v>
      </c>
    </row>
    <row r="96" spans="1:7" x14ac:dyDescent="0.35">
      <c r="A96" t="s">
        <v>920</v>
      </c>
      <c r="B96" t="s">
        <v>252</v>
      </c>
      <c r="C96" t="s">
        <v>141</v>
      </c>
      <c r="D96" t="s">
        <v>213</v>
      </c>
      <c r="E96" t="s">
        <v>162</v>
      </c>
      <c r="F96" t="s">
        <v>1132</v>
      </c>
      <c r="G96" t="s">
        <v>1133</v>
      </c>
    </row>
    <row r="97" spans="1:7" x14ac:dyDescent="0.35">
      <c r="A97" t="s">
        <v>920</v>
      </c>
      <c r="B97" t="s">
        <v>253</v>
      </c>
      <c r="C97" t="s">
        <v>141</v>
      </c>
      <c r="D97" t="s">
        <v>213</v>
      </c>
      <c r="E97" t="s">
        <v>162</v>
      </c>
      <c r="F97" t="s">
        <v>1128</v>
      </c>
      <c r="G97" t="s">
        <v>1129</v>
      </c>
    </row>
    <row r="98" spans="1:7" x14ac:dyDescent="0.35">
      <c r="A98" t="s">
        <v>920</v>
      </c>
      <c r="B98" t="s">
        <v>254</v>
      </c>
      <c r="C98" t="s">
        <v>145</v>
      </c>
      <c r="D98" t="s">
        <v>213</v>
      </c>
      <c r="E98" t="s">
        <v>162</v>
      </c>
      <c r="F98" t="s">
        <v>1132</v>
      </c>
      <c r="G98" t="s">
        <v>1133</v>
      </c>
    </row>
    <row r="99" spans="1:7" x14ac:dyDescent="0.35">
      <c r="A99" t="s">
        <v>920</v>
      </c>
      <c r="B99" t="s">
        <v>255</v>
      </c>
      <c r="C99" t="s">
        <v>141</v>
      </c>
      <c r="D99" t="s">
        <v>213</v>
      </c>
      <c r="E99" t="s">
        <v>162</v>
      </c>
      <c r="F99" t="s">
        <v>1135</v>
      </c>
      <c r="G99" t="s">
        <v>1136</v>
      </c>
    </row>
    <row r="100" spans="1:7" x14ac:dyDescent="0.35">
      <c r="A100" t="s">
        <v>920</v>
      </c>
      <c r="B100" t="s">
        <v>256</v>
      </c>
      <c r="C100" t="s">
        <v>145</v>
      </c>
      <c r="D100" t="s">
        <v>213</v>
      </c>
      <c r="E100" t="s">
        <v>165</v>
      </c>
      <c r="F100" t="s">
        <v>1132</v>
      </c>
      <c r="G100" t="s">
        <v>1133</v>
      </c>
    </row>
    <row r="101" spans="1:7" x14ac:dyDescent="0.35">
      <c r="A101" t="s">
        <v>920</v>
      </c>
      <c r="B101" t="s">
        <v>257</v>
      </c>
      <c r="C101" t="s">
        <v>217</v>
      </c>
      <c r="D101" t="s">
        <v>213</v>
      </c>
      <c r="E101" t="s">
        <v>165</v>
      </c>
      <c r="F101" t="s">
        <v>1132</v>
      </c>
      <c r="G101" t="s">
        <v>1133</v>
      </c>
    </row>
    <row r="102" spans="1:7" x14ac:dyDescent="0.35">
      <c r="A102" t="s">
        <v>920</v>
      </c>
      <c r="B102" t="s">
        <v>258</v>
      </c>
      <c r="C102" t="s">
        <v>145</v>
      </c>
      <c r="D102" t="s">
        <v>213</v>
      </c>
      <c r="E102" t="s">
        <v>165</v>
      </c>
      <c r="F102" t="s">
        <v>1137</v>
      </c>
      <c r="G102" t="s">
        <v>1138</v>
      </c>
    </row>
    <row r="103" spans="1:7" x14ac:dyDescent="0.35">
      <c r="A103" t="s">
        <v>920</v>
      </c>
      <c r="B103" t="s">
        <v>259</v>
      </c>
      <c r="C103" t="s">
        <v>145</v>
      </c>
      <c r="D103" t="s">
        <v>213</v>
      </c>
      <c r="E103" t="s">
        <v>165</v>
      </c>
      <c r="F103" t="s">
        <v>1137</v>
      </c>
      <c r="G103" t="s">
        <v>1138</v>
      </c>
    </row>
    <row r="104" spans="1:7" x14ac:dyDescent="0.35">
      <c r="A104" t="s">
        <v>920</v>
      </c>
      <c r="B104" t="s">
        <v>260</v>
      </c>
      <c r="C104" t="s">
        <v>145</v>
      </c>
      <c r="D104" t="s">
        <v>213</v>
      </c>
      <c r="E104" t="s">
        <v>167</v>
      </c>
      <c r="F104" t="s">
        <v>1132</v>
      </c>
      <c r="G104" t="s">
        <v>1133</v>
      </c>
    </row>
    <row r="105" spans="1:7" x14ac:dyDescent="0.35">
      <c r="A105" t="s">
        <v>920</v>
      </c>
      <c r="B105" t="s">
        <v>261</v>
      </c>
      <c r="C105" t="s">
        <v>145</v>
      </c>
      <c r="D105" t="s">
        <v>213</v>
      </c>
      <c r="E105" t="s">
        <v>167</v>
      </c>
      <c r="F105" t="s">
        <v>1130</v>
      </c>
      <c r="G105" t="s">
        <v>1131</v>
      </c>
    </row>
    <row r="106" spans="1:7" x14ac:dyDescent="0.35">
      <c r="A106" t="s">
        <v>920</v>
      </c>
      <c r="B106" t="s">
        <v>262</v>
      </c>
      <c r="C106" t="s">
        <v>239</v>
      </c>
      <c r="D106" t="s">
        <v>213</v>
      </c>
      <c r="E106" t="s">
        <v>167</v>
      </c>
      <c r="F106" t="s">
        <v>1128</v>
      </c>
      <c r="G106" t="s">
        <v>1129</v>
      </c>
    </row>
    <row r="107" spans="1:7" x14ac:dyDescent="0.35">
      <c r="A107" t="s">
        <v>920</v>
      </c>
      <c r="B107" t="s">
        <v>263</v>
      </c>
      <c r="C107" t="s">
        <v>207</v>
      </c>
      <c r="D107" t="s">
        <v>213</v>
      </c>
      <c r="E107" t="s">
        <v>167</v>
      </c>
      <c r="F107" t="s">
        <v>1139</v>
      </c>
      <c r="G107" t="s">
        <v>1140</v>
      </c>
    </row>
    <row r="108" spans="1:7" x14ac:dyDescent="0.35">
      <c r="A108" t="s">
        <v>920</v>
      </c>
      <c r="B108" t="s">
        <v>264</v>
      </c>
      <c r="C108" t="s">
        <v>145</v>
      </c>
      <c r="D108" t="s">
        <v>213</v>
      </c>
      <c r="E108" t="s">
        <v>167</v>
      </c>
      <c r="F108" t="s">
        <v>1137</v>
      </c>
      <c r="G108" t="s">
        <v>1138</v>
      </c>
    </row>
    <row r="109" spans="1:7" x14ac:dyDescent="0.35">
      <c r="A109" t="s">
        <v>920</v>
      </c>
      <c r="B109" t="s">
        <v>265</v>
      </c>
      <c r="C109" t="s">
        <v>145</v>
      </c>
      <c r="D109" t="s">
        <v>213</v>
      </c>
      <c r="E109" t="s">
        <v>170</v>
      </c>
      <c r="F109" t="s">
        <v>1130</v>
      </c>
      <c r="G109" t="s">
        <v>1131</v>
      </c>
    </row>
    <row r="110" spans="1:7" x14ac:dyDescent="0.35">
      <c r="A110" t="s">
        <v>920</v>
      </c>
      <c r="B110" t="s">
        <v>266</v>
      </c>
      <c r="C110" t="s">
        <v>207</v>
      </c>
      <c r="D110" t="s">
        <v>213</v>
      </c>
      <c r="E110" t="s">
        <v>170</v>
      </c>
      <c r="F110" t="s">
        <v>1139</v>
      </c>
      <c r="G110" t="s">
        <v>1140</v>
      </c>
    </row>
    <row r="111" spans="1:7" x14ac:dyDescent="0.35">
      <c r="A111" t="s">
        <v>920</v>
      </c>
      <c r="B111" t="s">
        <v>267</v>
      </c>
      <c r="C111" t="s">
        <v>145</v>
      </c>
      <c r="D111" t="s">
        <v>213</v>
      </c>
      <c r="E111" t="s">
        <v>170</v>
      </c>
      <c r="F111" t="s">
        <v>1130</v>
      </c>
      <c r="G111" t="s">
        <v>1131</v>
      </c>
    </row>
    <row r="112" spans="1:7" x14ac:dyDescent="0.35">
      <c r="A112" t="s">
        <v>920</v>
      </c>
      <c r="B112" t="s">
        <v>268</v>
      </c>
      <c r="C112" t="s">
        <v>141</v>
      </c>
      <c r="D112" t="s">
        <v>213</v>
      </c>
      <c r="E112" t="s">
        <v>170</v>
      </c>
      <c r="F112" t="s">
        <v>1135</v>
      </c>
      <c r="G112" t="s">
        <v>1136</v>
      </c>
    </row>
    <row r="113" spans="1:7" x14ac:dyDescent="0.35">
      <c r="A113" t="s">
        <v>920</v>
      </c>
      <c r="B113" t="s">
        <v>269</v>
      </c>
      <c r="C113" t="s">
        <v>145</v>
      </c>
      <c r="D113" t="s">
        <v>213</v>
      </c>
      <c r="E113" t="s">
        <v>170</v>
      </c>
      <c r="F113" t="s">
        <v>1132</v>
      </c>
      <c r="G113" t="s">
        <v>1133</v>
      </c>
    </row>
    <row r="114" spans="1:7" x14ac:dyDescent="0.35">
      <c r="A114" t="s">
        <v>920</v>
      </c>
      <c r="B114" t="s">
        <v>270</v>
      </c>
      <c r="C114" t="s">
        <v>145</v>
      </c>
      <c r="D114" t="s">
        <v>213</v>
      </c>
      <c r="E114" t="s">
        <v>170</v>
      </c>
      <c r="F114" t="s">
        <v>1132</v>
      </c>
      <c r="G114" t="s">
        <v>1133</v>
      </c>
    </row>
    <row r="115" spans="1:7" x14ac:dyDescent="0.35">
      <c r="A115" t="s">
        <v>920</v>
      </c>
      <c r="B115" t="s">
        <v>271</v>
      </c>
      <c r="C115" t="s">
        <v>141</v>
      </c>
      <c r="D115" t="s">
        <v>213</v>
      </c>
      <c r="E115" t="s">
        <v>170</v>
      </c>
      <c r="F115" t="s">
        <v>1135</v>
      </c>
      <c r="G115" t="s">
        <v>1136</v>
      </c>
    </row>
    <row r="116" spans="1:7" x14ac:dyDescent="0.35">
      <c r="A116" t="s">
        <v>920</v>
      </c>
      <c r="B116" t="s">
        <v>272</v>
      </c>
      <c r="C116" t="s">
        <v>145</v>
      </c>
      <c r="D116" t="s">
        <v>213</v>
      </c>
      <c r="E116" t="s">
        <v>170</v>
      </c>
      <c r="F116" t="s">
        <v>1135</v>
      </c>
      <c r="G116" t="s">
        <v>1136</v>
      </c>
    </row>
    <row r="117" spans="1:7" x14ac:dyDescent="0.35">
      <c r="A117" t="s">
        <v>920</v>
      </c>
      <c r="B117" t="s">
        <v>273</v>
      </c>
      <c r="C117" t="s">
        <v>145</v>
      </c>
      <c r="D117" t="s">
        <v>213</v>
      </c>
      <c r="E117" t="s">
        <v>170</v>
      </c>
      <c r="F117" t="s">
        <v>1130</v>
      </c>
      <c r="G117" t="s">
        <v>1131</v>
      </c>
    </row>
    <row r="118" spans="1:7" x14ac:dyDescent="0.35">
      <c r="A118" t="s">
        <v>920</v>
      </c>
      <c r="B118" t="s">
        <v>274</v>
      </c>
      <c r="C118" t="s">
        <v>141</v>
      </c>
      <c r="D118" t="s">
        <v>213</v>
      </c>
      <c r="E118" t="s">
        <v>170</v>
      </c>
      <c r="F118" t="s">
        <v>1135</v>
      </c>
      <c r="G118" t="s">
        <v>1136</v>
      </c>
    </row>
    <row r="119" spans="1:7" x14ac:dyDescent="0.35">
      <c r="A119" t="s">
        <v>920</v>
      </c>
      <c r="B119" t="s">
        <v>275</v>
      </c>
      <c r="C119" t="s">
        <v>145</v>
      </c>
      <c r="D119" t="s">
        <v>213</v>
      </c>
      <c r="E119" t="s">
        <v>170</v>
      </c>
      <c r="F119" t="s">
        <v>1132</v>
      </c>
      <c r="G119" t="s">
        <v>1133</v>
      </c>
    </row>
    <row r="120" spans="1:7" x14ac:dyDescent="0.35">
      <c r="A120" t="s">
        <v>920</v>
      </c>
      <c r="B120" t="s">
        <v>276</v>
      </c>
      <c r="C120" t="s">
        <v>145</v>
      </c>
      <c r="D120" t="s">
        <v>213</v>
      </c>
      <c r="E120" t="s">
        <v>170</v>
      </c>
      <c r="F120" t="s">
        <v>1130</v>
      </c>
      <c r="G120" t="s">
        <v>1131</v>
      </c>
    </row>
    <row r="121" spans="1:7" x14ac:dyDescent="0.35">
      <c r="A121" t="s">
        <v>920</v>
      </c>
      <c r="B121" t="s">
        <v>277</v>
      </c>
      <c r="C121" t="s">
        <v>207</v>
      </c>
      <c r="D121" t="s">
        <v>213</v>
      </c>
      <c r="E121" t="s">
        <v>173</v>
      </c>
      <c r="F121" t="s">
        <v>1128</v>
      </c>
      <c r="G121" t="s">
        <v>1129</v>
      </c>
    </row>
    <row r="122" spans="1:7" x14ac:dyDescent="0.35">
      <c r="A122" t="s">
        <v>920</v>
      </c>
      <c r="B122" t="s">
        <v>278</v>
      </c>
      <c r="C122" t="s">
        <v>207</v>
      </c>
      <c r="D122" t="s">
        <v>213</v>
      </c>
      <c r="E122" t="s">
        <v>173</v>
      </c>
      <c r="F122" t="s">
        <v>1128</v>
      </c>
      <c r="G122" t="s">
        <v>1129</v>
      </c>
    </row>
    <row r="123" spans="1:7" x14ac:dyDescent="0.35">
      <c r="A123" t="s">
        <v>920</v>
      </c>
      <c r="B123" t="s">
        <v>279</v>
      </c>
      <c r="C123" t="s">
        <v>145</v>
      </c>
      <c r="D123" t="s">
        <v>213</v>
      </c>
      <c r="E123" t="s">
        <v>173</v>
      </c>
      <c r="F123" t="s">
        <v>1132</v>
      </c>
      <c r="G123" t="s">
        <v>1133</v>
      </c>
    </row>
    <row r="124" spans="1:7" x14ac:dyDescent="0.35">
      <c r="A124" t="s">
        <v>920</v>
      </c>
      <c r="B124" t="s">
        <v>280</v>
      </c>
      <c r="C124" t="s">
        <v>207</v>
      </c>
      <c r="D124" t="s">
        <v>213</v>
      </c>
      <c r="E124" t="s">
        <v>173</v>
      </c>
      <c r="F124" t="s">
        <v>1143</v>
      </c>
      <c r="G124" t="s">
        <v>1144</v>
      </c>
    </row>
    <row r="125" spans="1:7" x14ac:dyDescent="0.35">
      <c r="A125" t="s">
        <v>920</v>
      </c>
      <c r="B125" t="s">
        <v>281</v>
      </c>
      <c r="C125" t="s">
        <v>207</v>
      </c>
      <c r="D125" t="s">
        <v>213</v>
      </c>
      <c r="E125" t="s">
        <v>173</v>
      </c>
      <c r="F125" t="s">
        <v>1143</v>
      </c>
      <c r="G125" t="s">
        <v>1144</v>
      </c>
    </row>
    <row r="126" spans="1:7" x14ac:dyDescent="0.35">
      <c r="A126" t="s">
        <v>920</v>
      </c>
      <c r="B126" t="s">
        <v>282</v>
      </c>
      <c r="C126" t="s">
        <v>207</v>
      </c>
      <c r="D126" t="s">
        <v>213</v>
      </c>
      <c r="E126" t="s">
        <v>173</v>
      </c>
      <c r="F126" t="s">
        <v>1128</v>
      </c>
      <c r="G126" t="s">
        <v>1129</v>
      </c>
    </row>
    <row r="127" spans="1:7" x14ac:dyDescent="0.35">
      <c r="A127" t="s">
        <v>920</v>
      </c>
      <c r="B127" t="s">
        <v>283</v>
      </c>
      <c r="C127" t="s">
        <v>145</v>
      </c>
      <c r="D127" t="s">
        <v>213</v>
      </c>
      <c r="E127" t="s">
        <v>178</v>
      </c>
      <c r="F127" t="s">
        <v>1132</v>
      </c>
      <c r="G127" t="s">
        <v>1133</v>
      </c>
    </row>
    <row r="128" spans="1:7" x14ac:dyDescent="0.35">
      <c r="A128" t="s">
        <v>920</v>
      </c>
      <c r="B128" t="s">
        <v>284</v>
      </c>
      <c r="C128" t="s">
        <v>145</v>
      </c>
      <c r="D128" t="s">
        <v>213</v>
      </c>
      <c r="E128" t="s">
        <v>178</v>
      </c>
      <c r="F128" t="s">
        <v>1151</v>
      </c>
      <c r="G128" t="s">
        <v>1152</v>
      </c>
    </row>
    <row r="129" spans="1:7" x14ac:dyDescent="0.35">
      <c r="A129" t="s">
        <v>920</v>
      </c>
      <c r="B129" t="s">
        <v>285</v>
      </c>
      <c r="C129" t="s">
        <v>141</v>
      </c>
      <c r="D129" t="s">
        <v>213</v>
      </c>
      <c r="E129" t="s">
        <v>178</v>
      </c>
      <c r="F129" t="s">
        <v>1135</v>
      </c>
      <c r="G129" t="s">
        <v>1136</v>
      </c>
    </row>
    <row r="130" spans="1:7" x14ac:dyDescent="0.35">
      <c r="A130" t="s">
        <v>920</v>
      </c>
      <c r="B130" t="s">
        <v>286</v>
      </c>
      <c r="C130" t="s">
        <v>145</v>
      </c>
      <c r="D130" t="s">
        <v>213</v>
      </c>
      <c r="E130" t="s">
        <v>178</v>
      </c>
      <c r="F130" t="s">
        <v>1151</v>
      </c>
      <c r="G130" t="s">
        <v>1152</v>
      </c>
    </row>
    <row r="131" spans="1:7" x14ac:dyDescent="0.35">
      <c r="A131" t="s">
        <v>920</v>
      </c>
      <c r="B131" t="s">
        <v>287</v>
      </c>
      <c r="C131" t="s">
        <v>145</v>
      </c>
      <c r="D131" t="s">
        <v>213</v>
      </c>
      <c r="E131" t="s">
        <v>178</v>
      </c>
      <c r="F131" t="s">
        <v>1132</v>
      </c>
      <c r="G131" t="s">
        <v>1133</v>
      </c>
    </row>
    <row r="132" spans="1:7" x14ac:dyDescent="0.35">
      <c r="A132" t="s">
        <v>920</v>
      </c>
      <c r="B132" t="s">
        <v>288</v>
      </c>
      <c r="C132" t="s">
        <v>145</v>
      </c>
      <c r="D132" t="s">
        <v>213</v>
      </c>
      <c r="E132" t="s">
        <v>178</v>
      </c>
      <c r="F132" t="s">
        <v>1135</v>
      </c>
      <c r="G132" t="s">
        <v>1136</v>
      </c>
    </row>
    <row r="133" spans="1:7" x14ac:dyDescent="0.35">
      <c r="A133" t="s">
        <v>920</v>
      </c>
      <c r="B133" t="s">
        <v>289</v>
      </c>
      <c r="C133" t="s">
        <v>141</v>
      </c>
      <c r="D133" t="s">
        <v>213</v>
      </c>
      <c r="E133" t="s">
        <v>183</v>
      </c>
      <c r="F133" t="s">
        <v>1149</v>
      </c>
      <c r="G133" t="s">
        <v>1150</v>
      </c>
    </row>
    <row r="134" spans="1:7" x14ac:dyDescent="0.35">
      <c r="A134" t="s">
        <v>920</v>
      </c>
      <c r="B134" t="s">
        <v>290</v>
      </c>
      <c r="C134" t="s">
        <v>145</v>
      </c>
      <c r="D134" t="s">
        <v>213</v>
      </c>
      <c r="E134" t="s">
        <v>183</v>
      </c>
      <c r="F134" t="s">
        <v>1128</v>
      </c>
      <c r="G134" t="s">
        <v>1134</v>
      </c>
    </row>
    <row r="135" spans="1:7" x14ac:dyDescent="0.35">
      <c r="A135" t="s">
        <v>920</v>
      </c>
      <c r="B135" t="s">
        <v>291</v>
      </c>
      <c r="C135" t="s">
        <v>145</v>
      </c>
      <c r="D135" t="s">
        <v>213</v>
      </c>
      <c r="E135" t="s">
        <v>183</v>
      </c>
      <c r="F135" t="s">
        <v>1132</v>
      </c>
      <c r="G135" t="s">
        <v>1133</v>
      </c>
    </row>
    <row r="136" spans="1:7" x14ac:dyDescent="0.35">
      <c r="A136" t="s">
        <v>920</v>
      </c>
      <c r="B136" t="s">
        <v>292</v>
      </c>
      <c r="C136" t="s">
        <v>217</v>
      </c>
      <c r="D136" t="s">
        <v>213</v>
      </c>
      <c r="E136" t="s">
        <v>183</v>
      </c>
      <c r="F136" t="s">
        <v>1128</v>
      </c>
      <c r="G136" t="s">
        <v>1134</v>
      </c>
    </row>
    <row r="137" spans="1:7" x14ac:dyDescent="0.35">
      <c r="A137" t="s">
        <v>920</v>
      </c>
      <c r="B137" t="s">
        <v>293</v>
      </c>
      <c r="C137" t="s">
        <v>207</v>
      </c>
      <c r="D137" t="s">
        <v>213</v>
      </c>
      <c r="E137" t="s">
        <v>183</v>
      </c>
      <c r="F137" t="s">
        <v>1143</v>
      </c>
      <c r="G137" t="s">
        <v>1144</v>
      </c>
    </row>
    <row r="138" spans="1:7" x14ac:dyDescent="0.35">
      <c r="A138" t="s">
        <v>920</v>
      </c>
      <c r="B138" t="s">
        <v>294</v>
      </c>
      <c r="C138" t="s">
        <v>141</v>
      </c>
      <c r="D138" t="s">
        <v>213</v>
      </c>
      <c r="E138" t="s">
        <v>183</v>
      </c>
      <c r="F138" t="s">
        <v>1135</v>
      </c>
      <c r="G138" t="s">
        <v>1136</v>
      </c>
    </row>
    <row r="139" spans="1:7" x14ac:dyDescent="0.35">
      <c r="A139" t="s">
        <v>920</v>
      </c>
      <c r="B139" t="s">
        <v>295</v>
      </c>
      <c r="C139" t="s">
        <v>239</v>
      </c>
      <c r="D139" t="s">
        <v>213</v>
      </c>
      <c r="E139" t="s">
        <v>183</v>
      </c>
      <c r="F139" t="s">
        <v>1128</v>
      </c>
      <c r="G139" t="s">
        <v>1129</v>
      </c>
    </row>
    <row r="140" spans="1:7" x14ac:dyDescent="0.35">
      <c r="A140" t="s">
        <v>920</v>
      </c>
      <c r="B140" t="s">
        <v>296</v>
      </c>
      <c r="C140" t="s">
        <v>145</v>
      </c>
      <c r="D140" t="s">
        <v>213</v>
      </c>
      <c r="E140" t="s">
        <v>183</v>
      </c>
      <c r="F140" t="s">
        <v>1130</v>
      </c>
      <c r="G140" t="s">
        <v>1131</v>
      </c>
    </row>
    <row r="141" spans="1:7" x14ac:dyDescent="0.35">
      <c r="A141" t="s">
        <v>920</v>
      </c>
      <c r="B141" t="s">
        <v>297</v>
      </c>
      <c r="C141" t="s">
        <v>141</v>
      </c>
      <c r="D141" t="s">
        <v>213</v>
      </c>
      <c r="E141" t="s">
        <v>183</v>
      </c>
      <c r="F141" t="s">
        <v>1135</v>
      </c>
      <c r="G141" t="s">
        <v>1136</v>
      </c>
    </row>
    <row r="142" spans="1:7" x14ac:dyDescent="0.35">
      <c r="A142" t="s">
        <v>920</v>
      </c>
      <c r="B142" t="s">
        <v>298</v>
      </c>
      <c r="C142" t="s">
        <v>145</v>
      </c>
      <c r="D142" t="s">
        <v>213</v>
      </c>
      <c r="E142" t="s">
        <v>189</v>
      </c>
      <c r="F142" t="s">
        <v>1137</v>
      </c>
      <c r="G142" t="s">
        <v>1138</v>
      </c>
    </row>
    <row r="143" spans="1:7" x14ac:dyDescent="0.35">
      <c r="A143" t="s">
        <v>920</v>
      </c>
      <c r="B143" t="s">
        <v>299</v>
      </c>
      <c r="C143" t="s">
        <v>239</v>
      </c>
      <c r="D143" t="s">
        <v>213</v>
      </c>
      <c r="E143" t="s">
        <v>189</v>
      </c>
      <c r="F143" t="s">
        <v>1128</v>
      </c>
      <c r="G143" t="s">
        <v>1129</v>
      </c>
    </row>
    <row r="144" spans="1:7" x14ac:dyDescent="0.35">
      <c r="A144" t="s">
        <v>920</v>
      </c>
      <c r="B144" t="s">
        <v>300</v>
      </c>
      <c r="C144" t="s">
        <v>239</v>
      </c>
      <c r="D144" t="s">
        <v>213</v>
      </c>
      <c r="E144" t="s">
        <v>301</v>
      </c>
      <c r="F144" t="s">
        <v>1128</v>
      </c>
      <c r="G144" t="s">
        <v>1134</v>
      </c>
    </row>
    <row r="145" spans="1:7" x14ac:dyDescent="0.35">
      <c r="A145" t="s">
        <v>920</v>
      </c>
      <c r="B145" t="s">
        <v>302</v>
      </c>
      <c r="C145" t="s">
        <v>145</v>
      </c>
      <c r="D145" t="s">
        <v>213</v>
      </c>
      <c r="E145" t="s">
        <v>191</v>
      </c>
      <c r="F145" t="s">
        <v>1135</v>
      </c>
      <c r="G145" t="s">
        <v>1136</v>
      </c>
    </row>
    <row r="146" spans="1:7" x14ac:dyDescent="0.35">
      <c r="A146" t="s">
        <v>920</v>
      </c>
      <c r="B146" t="s">
        <v>304</v>
      </c>
      <c r="C146" t="s">
        <v>145</v>
      </c>
      <c r="D146" t="s">
        <v>213</v>
      </c>
      <c r="E146" t="s">
        <v>191</v>
      </c>
      <c r="F146" t="s">
        <v>1132</v>
      </c>
      <c r="G146" t="s">
        <v>1133</v>
      </c>
    </row>
    <row r="147" spans="1:7" x14ac:dyDescent="0.35">
      <c r="A147" t="s">
        <v>920</v>
      </c>
      <c r="B147" t="s">
        <v>305</v>
      </c>
      <c r="C147" t="s">
        <v>141</v>
      </c>
      <c r="D147" t="s">
        <v>213</v>
      </c>
      <c r="E147" t="s">
        <v>191</v>
      </c>
      <c r="F147" t="s">
        <v>1135</v>
      </c>
      <c r="G147" t="s">
        <v>1136</v>
      </c>
    </row>
    <row r="148" spans="1:7" x14ac:dyDescent="0.35">
      <c r="A148" t="s">
        <v>920</v>
      </c>
      <c r="B148" t="s">
        <v>306</v>
      </c>
      <c r="C148" t="s">
        <v>207</v>
      </c>
      <c r="D148" t="s">
        <v>213</v>
      </c>
      <c r="E148" t="s">
        <v>191</v>
      </c>
      <c r="F148" t="s">
        <v>1128</v>
      </c>
      <c r="G148" t="s">
        <v>1129</v>
      </c>
    </row>
    <row r="149" spans="1:7" x14ac:dyDescent="0.35">
      <c r="A149" t="s">
        <v>920</v>
      </c>
      <c r="B149" t="s">
        <v>307</v>
      </c>
      <c r="C149" t="s">
        <v>207</v>
      </c>
      <c r="D149" t="s">
        <v>213</v>
      </c>
      <c r="E149" t="s">
        <v>191</v>
      </c>
      <c r="F149" t="s">
        <v>1128</v>
      </c>
      <c r="G149" t="s">
        <v>1129</v>
      </c>
    </row>
    <row r="150" spans="1:7" x14ac:dyDescent="0.35">
      <c r="A150" t="s">
        <v>920</v>
      </c>
      <c r="B150" t="s">
        <v>308</v>
      </c>
      <c r="C150" t="s">
        <v>207</v>
      </c>
      <c r="D150" t="s">
        <v>213</v>
      </c>
      <c r="E150" t="s">
        <v>196</v>
      </c>
      <c r="F150" t="s">
        <v>1128</v>
      </c>
      <c r="G150" t="s">
        <v>1129</v>
      </c>
    </row>
    <row r="151" spans="1:7" x14ac:dyDescent="0.35">
      <c r="A151" t="s">
        <v>920</v>
      </c>
      <c r="B151" t="s">
        <v>309</v>
      </c>
      <c r="C151" t="s">
        <v>145</v>
      </c>
      <c r="D151" t="s">
        <v>213</v>
      </c>
      <c r="E151" t="s">
        <v>196</v>
      </c>
      <c r="F151" t="s">
        <v>1130</v>
      </c>
      <c r="G151" t="s">
        <v>1131</v>
      </c>
    </row>
    <row r="152" spans="1:7" x14ac:dyDescent="0.35">
      <c r="A152" t="s">
        <v>920</v>
      </c>
      <c r="B152" t="s">
        <v>310</v>
      </c>
      <c r="C152" t="s">
        <v>145</v>
      </c>
      <c r="D152" t="s">
        <v>213</v>
      </c>
      <c r="E152" t="s">
        <v>196</v>
      </c>
      <c r="F152" t="s">
        <v>1132</v>
      </c>
      <c r="G152" t="s">
        <v>1133</v>
      </c>
    </row>
    <row r="153" spans="1:7" x14ac:dyDescent="0.35">
      <c r="A153" t="s">
        <v>920</v>
      </c>
      <c r="B153" t="s">
        <v>1153</v>
      </c>
      <c r="C153" t="s">
        <v>145</v>
      </c>
      <c r="D153" t="s">
        <v>213</v>
      </c>
      <c r="E153" t="s">
        <v>196</v>
      </c>
      <c r="F153" t="s">
        <v>1132</v>
      </c>
      <c r="G153" t="s">
        <v>1133</v>
      </c>
    </row>
    <row r="154" spans="1:7" x14ac:dyDescent="0.35">
      <c r="A154" t="s">
        <v>920</v>
      </c>
      <c r="B154" t="s">
        <v>1154</v>
      </c>
      <c r="C154" t="s">
        <v>145</v>
      </c>
      <c r="D154" t="s">
        <v>213</v>
      </c>
      <c r="E154" t="s">
        <v>196</v>
      </c>
      <c r="F154" t="s">
        <v>1132</v>
      </c>
      <c r="G154" t="s">
        <v>1133</v>
      </c>
    </row>
    <row r="155" spans="1:7" x14ac:dyDescent="0.35">
      <c r="A155" t="s">
        <v>920</v>
      </c>
      <c r="B155" t="s">
        <v>1155</v>
      </c>
      <c r="C155" t="s">
        <v>145</v>
      </c>
      <c r="D155" t="s">
        <v>213</v>
      </c>
      <c r="E155" t="s">
        <v>196</v>
      </c>
      <c r="F155" t="s">
        <v>1135</v>
      </c>
      <c r="G155" t="s">
        <v>1136</v>
      </c>
    </row>
    <row r="156" spans="1:7" x14ac:dyDescent="0.35">
      <c r="A156" t="s">
        <v>920</v>
      </c>
      <c r="B156" t="s">
        <v>1156</v>
      </c>
      <c r="C156" t="s">
        <v>207</v>
      </c>
      <c r="D156" t="s">
        <v>213</v>
      </c>
      <c r="E156" t="s">
        <v>196</v>
      </c>
      <c r="F156" t="s">
        <v>1139</v>
      </c>
      <c r="G156" t="s">
        <v>1140</v>
      </c>
    </row>
    <row r="157" spans="1:7" x14ac:dyDescent="0.35">
      <c r="A157" t="s">
        <v>920</v>
      </c>
      <c r="B157" t="s">
        <v>1157</v>
      </c>
      <c r="C157" t="s">
        <v>207</v>
      </c>
      <c r="D157" t="s">
        <v>213</v>
      </c>
      <c r="E157" t="s">
        <v>1117</v>
      </c>
      <c r="F157" t="s">
        <v>1128</v>
      </c>
      <c r="G157" t="s">
        <v>1129</v>
      </c>
    </row>
    <row r="158" spans="1:7" x14ac:dyDescent="0.35">
      <c r="A158" t="s">
        <v>920</v>
      </c>
      <c r="B158" t="s">
        <v>1158</v>
      </c>
      <c r="C158" t="s">
        <v>141</v>
      </c>
      <c r="D158" t="s">
        <v>213</v>
      </c>
      <c r="E158" t="s">
        <v>1117</v>
      </c>
      <c r="F158" t="s">
        <v>1141</v>
      </c>
      <c r="G158" t="s">
        <v>1142</v>
      </c>
    </row>
    <row r="159" spans="1:7" x14ac:dyDescent="0.35">
      <c r="A159" t="s">
        <v>920</v>
      </c>
      <c r="B159" t="s">
        <v>1159</v>
      </c>
      <c r="C159" t="s">
        <v>145</v>
      </c>
      <c r="D159" t="s">
        <v>213</v>
      </c>
      <c r="E159" t="s">
        <v>1117</v>
      </c>
      <c r="F159" t="s">
        <v>1128</v>
      </c>
      <c r="G159" t="s">
        <v>1134</v>
      </c>
    </row>
    <row r="160" spans="1:7" x14ac:dyDescent="0.35">
      <c r="A160" t="s">
        <v>920</v>
      </c>
      <c r="B160" t="s">
        <v>1160</v>
      </c>
      <c r="C160" t="s">
        <v>217</v>
      </c>
      <c r="D160" t="s">
        <v>213</v>
      </c>
      <c r="E160" t="s">
        <v>1117</v>
      </c>
      <c r="F160" t="s">
        <v>1132</v>
      </c>
      <c r="G160" t="s">
        <v>1133</v>
      </c>
    </row>
    <row r="161" spans="1:7" x14ac:dyDescent="0.35">
      <c r="A161" t="s">
        <v>920</v>
      </c>
      <c r="B161" t="s">
        <v>1161</v>
      </c>
      <c r="C161" t="s">
        <v>217</v>
      </c>
      <c r="D161" t="s">
        <v>213</v>
      </c>
      <c r="E161" t="s">
        <v>1117</v>
      </c>
      <c r="F161" t="s">
        <v>1132</v>
      </c>
      <c r="G161" t="s">
        <v>1133</v>
      </c>
    </row>
    <row r="162" spans="1:7" x14ac:dyDescent="0.35">
      <c r="A162" t="s">
        <v>920</v>
      </c>
      <c r="B162" t="s">
        <v>1162</v>
      </c>
      <c r="C162" t="s">
        <v>217</v>
      </c>
      <c r="D162" t="s">
        <v>213</v>
      </c>
      <c r="E162" t="s">
        <v>1117</v>
      </c>
      <c r="F162" t="s">
        <v>1132</v>
      </c>
      <c r="G162" t="s">
        <v>1133</v>
      </c>
    </row>
    <row r="163" spans="1:7" x14ac:dyDescent="0.35">
      <c r="A163" t="s">
        <v>920</v>
      </c>
      <c r="B163" t="s">
        <v>1163</v>
      </c>
      <c r="C163" t="s">
        <v>217</v>
      </c>
      <c r="D163" t="s">
        <v>213</v>
      </c>
      <c r="E163" t="s">
        <v>1164</v>
      </c>
      <c r="F163" t="s">
        <v>1132</v>
      </c>
      <c r="G163" t="s">
        <v>1133</v>
      </c>
    </row>
    <row r="164" spans="1:7" x14ac:dyDescent="0.35">
      <c r="A164" t="s">
        <v>920</v>
      </c>
      <c r="B164" t="s">
        <v>1165</v>
      </c>
      <c r="C164" t="s">
        <v>141</v>
      </c>
      <c r="D164" t="s">
        <v>213</v>
      </c>
      <c r="E164" t="s">
        <v>1164</v>
      </c>
      <c r="F164" t="s">
        <v>1135</v>
      </c>
      <c r="G164" t="s">
        <v>1136</v>
      </c>
    </row>
    <row r="165" spans="1:7" x14ac:dyDescent="0.35">
      <c r="A165" t="s">
        <v>920</v>
      </c>
      <c r="B165" t="s">
        <v>311</v>
      </c>
      <c r="C165" t="s">
        <v>312</v>
      </c>
      <c r="D165" t="s">
        <v>213</v>
      </c>
      <c r="E165" t="s">
        <v>143</v>
      </c>
      <c r="F165" t="s">
        <v>1166</v>
      </c>
      <c r="G165" t="s">
        <v>1167</v>
      </c>
    </row>
    <row r="166" spans="1:7" x14ac:dyDescent="0.35">
      <c r="A166" t="s">
        <v>920</v>
      </c>
      <c r="B166" t="s">
        <v>313</v>
      </c>
      <c r="C166" t="s">
        <v>207</v>
      </c>
      <c r="D166" t="s">
        <v>314</v>
      </c>
      <c r="E166" t="s">
        <v>214</v>
      </c>
      <c r="F166" t="s">
        <v>1168</v>
      </c>
      <c r="G166" t="s">
        <v>1169</v>
      </c>
    </row>
    <row r="167" spans="1:7" x14ac:dyDescent="0.35">
      <c r="A167" t="s">
        <v>920</v>
      </c>
      <c r="B167" t="s">
        <v>315</v>
      </c>
      <c r="C167" t="s">
        <v>207</v>
      </c>
      <c r="D167" t="s">
        <v>314</v>
      </c>
      <c r="E167" t="s">
        <v>214</v>
      </c>
      <c r="F167" t="s">
        <v>1170</v>
      </c>
      <c r="G167" t="s">
        <v>1171</v>
      </c>
    </row>
    <row r="168" spans="1:7" x14ac:dyDescent="0.35">
      <c r="A168" t="s">
        <v>920</v>
      </c>
      <c r="B168" t="s">
        <v>316</v>
      </c>
      <c r="C168" t="s">
        <v>207</v>
      </c>
      <c r="D168" t="s">
        <v>314</v>
      </c>
      <c r="E168" t="s">
        <v>143</v>
      </c>
      <c r="F168" t="s">
        <v>1170</v>
      </c>
      <c r="G168" t="s">
        <v>1171</v>
      </c>
    </row>
    <row r="169" spans="1:7" x14ac:dyDescent="0.35">
      <c r="A169" t="s">
        <v>920</v>
      </c>
      <c r="B169" t="s">
        <v>317</v>
      </c>
      <c r="C169" t="s">
        <v>207</v>
      </c>
      <c r="D169" t="s">
        <v>314</v>
      </c>
      <c r="E169" t="s">
        <v>143</v>
      </c>
      <c r="F169" t="s">
        <v>1170</v>
      </c>
      <c r="G169" t="s">
        <v>1171</v>
      </c>
    </row>
    <row r="170" spans="1:7" x14ac:dyDescent="0.35">
      <c r="A170" t="s">
        <v>920</v>
      </c>
      <c r="B170" t="s">
        <v>318</v>
      </c>
      <c r="C170" t="s">
        <v>207</v>
      </c>
      <c r="D170" t="s">
        <v>314</v>
      </c>
      <c r="E170" t="s">
        <v>143</v>
      </c>
      <c r="F170" t="s">
        <v>1168</v>
      </c>
      <c r="G170" t="s">
        <v>1172</v>
      </c>
    </row>
    <row r="171" spans="1:7" x14ac:dyDescent="0.35">
      <c r="A171" t="s">
        <v>920</v>
      </c>
      <c r="B171" t="s">
        <v>319</v>
      </c>
      <c r="C171" t="s">
        <v>207</v>
      </c>
      <c r="D171" t="s">
        <v>314</v>
      </c>
      <c r="E171" t="s">
        <v>143</v>
      </c>
      <c r="F171" t="s">
        <v>1170</v>
      </c>
      <c r="G171" t="s">
        <v>1173</v>
      </c>
    </row>
    <row r="172" spans="1:7" x14ac:dyDescent="0.35">
      <c r="A172" t="s">
        <v>920</v>
      </c>
      <c r="B172" t="s">
        <v>320</v>
      </c>
      <c r="C172" t="s">
        <v>207</v>
      </c>
      <c r="D172" t="s">
        <v>314</v>
      </c>
      <c r="E172" t="s">
        <v>143</v>
      </c>
      <c r="F172" t="s">
        <v>1174</v>
      </c>
      <c r="G172" t="s">
        <v>1175</v>
      </c>
    </row>
    <row r="173" spans="1:7" x14ac:dyDescent="0.35">
      <c r="A173" t="s">
        <v>920</v>
      </c>
      <c r="B173" t="s">
        <v>321</v>
      </c>
      <c r="C173" t="s">
        <v>207</v>
      </c>
      <c r="D173" t="s">
        <v>314</v>
      </c>
      <c r="E173" t="s">
        <v>153</v>
      </c>
      <c r="F173" t="s">
        <v>1170</v>
      </c>
      <c r="G173" t="s">
        <v>1171</v>
      </c>
    </row>
    <row r="174" spans="1:7" x14ac:dyDescent="0.35">
      <c r="A174" t="s">
        <v>920</v>
      </c>
      <c r="B174" t="s">
        <v>322</v>
      </c>
      <c r="C174" t="s">
        <v>141</v>
      </c>
      <c r="D174" t="s">
        <v>314</v>
      </c>
      <c r="E174" t="s">
        <v>153</v>
      </c>
      <c r="F174" t="s">
        <v>1176</v>
      </c>
      <c r="G174" t="s">
        <v>1177</v>
      </c>
    </row>
    <row r="175" spans="1:7" x14ac:dyDescent="0.35">
      <c r="A175" t="s">
        <v>920</v>
      </c>
      <c r="B175" t="s">
        <v>323</v>
      </c>
      <c r="C175" t="s">
        <v>207</v>
      </c>
      <c r="D175" t="s">
        <v>314</v>
      </c>
      <c r="E175" t="s">
        <v>153</v>
      </c>
      <c r="F175" t="s">
        <v>1170</v>
      </c>
      <c r="G175" t="s">
        <v>1173</v>
      </c>
    </row>
    <row r="176" spans="1:7" x14ac:dyDescent="0.35">
      <c r="A176" t="s">
        <v>920</v>
      </c>
      <c r="B176" t="s">
        <v>324</v>
      </c>
      <c r="C176" t="s">
        <v>207</v>
      </c>
      <c r="D176" t="s">
        <v>314</v>
      </c>
      <c r="E176" t="s">
        <v>153</v>
      </c>
      <c r="F176" t="s">
        <v>1170</v>
      </c>
      <c r="G176" t="s">
        <v>1171</v>
      </c>
    </row>
    <row r="177" spans="1:7" x14ac:dyDescent="0.35">
      <c r="A177" t="s">
        <v>920</v>
      </c>
      <c r="B177" t="s">
        <v>325</v>
      </c>
      <c r="C177" t="s">
        <v>207</v>
      </c>
      <c r="D177" t="s">
        <v>314</v>
      </c>
      <c r="E177" t="s">
        <v>153</v>
      </c>
      <c r="F177" t="s">
        <v>1168</v>
      </c>
      <c r="G177" t="s">
        <v>1169</v>
      </c>
    </row>
    <row r="178" spans="1:7" x14ac:dyDescent="0.35">
      <c r="A178" t="s">
        <v>920</v>
      </c>
      <c r="B178" t="s">
        <v>326</v>
      </c>
      <c r="C178" t="s">
        <v>207</v>
      </c>
      <c r="D178" t="s">
        <v>314</v>
      </c>
      <c r="E178" t="s">
        <v>153</v>
      </c>
      <c r="F178" t="s">
        <v>1170</v>
      </c>
      <c r="G178" t="s">
        <v>1171</v>
      </c>
    </row>
    <row r="179" spans="1:7" x14ac:dyDescent="0.35">
      <c r="A179" t="s">
        <v>920</v>
      </c>
      <c r="B179" t="s">
        <v>327</v>
      </c>
      <c r="C179" t="s">
        <v>145</v>
      </c>
      <c r="D179" t="s">
        <v>314</v>
      </c>
      <c r="E179" t="s">
        <v>156</v>
      </c>
      <c r="F179" t="s">
        <v>1176</v>
      </c>
      <c r="G179" t="s">
        <v>1177</v>
      </c>
    </row>
    <row r="180" spans="1:7" x14ac:dyDescent="0.35">
      <c r="A180" t="s">
        <v>920</v>
      </c>
      <c r="B180" t="s">
        <v>328</v>
      </c>
      <c r="C180" t="s">
        <v>141</v>
      </c>
      <c r="D180" t="s">
        <v>314</v>
      </c>
      <c r="E180" t="s">
        <v>156</v>
      </c>
      <c r="F180" t="s">
        <v>1176</v>
      </c>
      <c r="G180" t="s">
        <v>1177</v>
      </c>
    </row>
    <row r="181" spans="1:7" x14ac:dyDescent="0.35">
      <c r="A181" t="s">
        <v>920</v>
      </c>
      <c r="B181" t="s">
        <v>329</v>
      </c>
      <c r="C181" t="s">
        <v>207</v>
      </c>
      <c r="D181" t="s">
        <v>314</v>
      </c>
      <c r="E181" t="s">
        <v>156</v>
      </c>
      <c r="F181" t="s">
        <v>1170</v>
      </c>
      <c r="G181" t="s">
        <v>1171</v>
      </c>
    </row>
    <row r="182" spans="1:7" x14ac:dyDescent="0.35">
      <c r="A182" t="s">
        <v>920</v>
      </c>
      <c r="B182" t="s">
        <v>330</v>
      </c>
      <c r="C182" t="s">
        <v>207</v>
      </c>
      <c r="D182" t="s">
        <v>314</v>
      </c>
      <c r="E182" t="s">
        <v>156</v>
      </c>
      <c r="F182" t="s">
        <v>1168</v>
      </c>
      <c r="G182" t="s">
        <v>1169</v>
      </c>
    </row>
    <row r="183" spans="1:7" x14ac:dyDescent="0.35">
      <c r="A183" t="s">
        <v>920</v>
      </c>
      <c r="B183" t="s">
        <v>331</v>
      </c>
      <c r="C183" t="s">
        <v>207</v>
      </c>
      <c r="D183" t="s">
        <v>314</v>
      </c>
      <c r="E183" t="s">
        <v>162</v>
      </c>
      <c r="F183" t="s">
        <v>1168</v>
      </c>
      <c r="G183" t="s">
        <v>1169</v>
      </c>
    </row>
    <row r="184" spans="1:7" x14ac:dyDescent="0.35">
      <c r="A184" t="s">
        <v>920</v>
      </c>
      <c r="B184" t="s">
        <v>332</v>
      </c>
      <c r="C184" t="s">
        <v>207</v>
      </c>
      <c r="D184" t="s">
        <v>314</v>
      </c>
      <c r="E184" t="s">
        <v>162</v>
      </c>
      <c r="F184" t="s">
        <v>1174</v>
      </c>
      <c r="G184" t="s">
        <v>1175</v>
      </c>
    </row>
    <row r="185" spans="1:7" x14ac:dyDescent="0.35">
      <c r="A185" t="s">
        <v>920</v>
      </c>
      <c r="B185" t="s">
        <v>333</v>
      </c>
      <c r="C185" t="s">
        <v>207</v>
      </c>
      <c r="D185" t="s">
        <v>314</v>
      </c>
      <c r="E185" t="s">
        <v>162</v>
      </c>
      <c r="F185" t="s">
        <v>1170</v>
      </c>
      <c r="G185" t="s">
        <v>1171</v>
      </c>
    </row>
    <row r="186" spans="1:7" x14ac:dyDescent="0.35">
      <c r="A186" t="s">
        <v>920</v>
      </c>
      <c r="B186" t="s">
        <v>334</v>
      </c>
      <c r="C186" t="s">
        <v>145</v>
      </c>
      <c r="D186" t="s">
        <v>314</v>
      </c>
      <c r="E186" t="s">
        <v>165</v>
      </c>
      <c r="F186" t="s">
        <v>1178</v>
      </c>
      <c r="G186" t="s">
        <v>1179</v>
      </c>
    </row>
    <row r="187" spans="1:7" x14ac:dyDescent="0.35">
      <c r="A187" t="s">
        <v>920</v>
      </c>
      <c r="B187" t="s">
        <v>335</v>
      </c>
      <c r="C187" t="s">
        <v>336</v>
      </c>
      <c r="D187" t="s">
        <v>314</v>
      </c>
      <c r="E187" t="s">
        <v>165</v>
      </c>
    </row>
    <row r="188" spans="1:7" x14ac:dyDescent="0.35">
      <c r="A188" t="s">
        <v>920</v>
      </c>
      <c r="B188" t="s">
        <v>337</v>
      </c>
      <c r="C188" t="s">
        <v>207</v>
      </c>
      <c r="D188" t="s">
        <v>314</v>
      </c>
      <c r="E188" t="s">
        <v>165</v>
      </c>
      <c r="F188" t="s">
        <v>1170</v>
      </c>
      <c r="G188" t="s">
        <v>1171</v>
      </c>
    </row>
    <row r="189" spans="1:7" x14ac:dyDescent="0.35">
      <c r="A189" t="s">
        <v>920</v>
      </c>
      <c r="B189" t="s">
        <v>338</v>
      </c>
      <c r="C189" t="s">
        <v>207</v>
      </c>
      <c r="D189" t="s">
        <v>314</v>
      </c>
      <c r="E189" t="s">
        <v>165</v>
      </c>
      <c r="F189" t="s">
        <v>1168</v>
      </c>
      <c r="G189" t="s">
        <v>1172</v>
      </c>
    </row>
    <row r="190" spans="1:7" x14ac:dyDescent="0.35">
      <c r="A190" t="s">
        <v>920</v>
      </c>
      <c r="B190" t="s">
        <v>339</v>
      </c>
      <c r="C190" t="s">
        <v>207</v>
      </c>
      <c r="D190" t="s">
        <v>314</v>
      </c>
      <c r="E190" t="s">
        <v>167</v>
      </c>
      <c r="F190" t="s">
        <v>1174</v>
      </c>
      <c r="G190" t="s">
        <v>1175</v>
      </c>
    </row>
    <row r="191" spans="1:7" x14ac:dyDescent="0.35">
      <c r="A191" t="s">
        <v>920</v>
      </c>
      <c r="B191" t="s">
        <v>340</v>
      </c>
      <c r="C191" t="s">
        <v>207</v>
      </c>
      <c r="D191" t="s">
        <v>314</v>
      </c>
      <c r="E191" t="s">
        <v>170</v>
      </c>
      <c r="F191" t="s">
        <v>1168</v>
      </c>
      <c r="G191" t="s">
        <v>1169</v>
      </c>
    </row>
    <row r="192" spans="1:7" x14ac:dyDescent="0.35">
      <c r="A192" t="s">
        <v>920</v>
      </c>
      <c r="B192" t="s">
        <v>341</v>
      </c>
      <c r="C192" t="s">
        <v>145</v>
      </c>
      <c r="D192" t="s">
        <v>314</v>
      </c>
      <c r="E192" t="s">
        <v>170</v>
      </c>
      <c r="F192" t="s">
        <v>1176</v>
      </c>
      <c r="G192" t="s">
        <v>1177</v>
      </c>
    </row>
    <row r="193" spans="1:7" x14ac:dyDescent="0.35">
      <c r="A193" t="s">
        <v>920</v>
      </c>
      <c r="B193" t="s">
        <v>342</v>
      </c>
      <c r="C193" t="s">
        <v>207</v>
      </c>
      <c r="D193" t="s">
        <v>314</v>
      </c>
      <c r="E193" t="s">
        <v>173</v>
      </c>
      <c r="F193" t="s">
        <v>1180</v>
      </c>
      <c r="G193" t="s">
        <v>1171</v>
      </c>
    </row>
    <row r="194" spans="1:7" x14ac:dyDescent="0.35">
      <c r="A194" t="s">
        <v>920</v>
      </c>
      <c r="B194" t="s">
        <v>343</v>
      </c>
      <c r="C194" t="s">
        <v>207</v>
      </c>
      <c r="D194" t="s">
        <v>314</v>
      </c>
      <c r="E194" t="s">
        <v>173</v>
      </c>
      <c r="F194" t="s">
        <v>1170</v>
      </c>
      <c r="G194" t="s">
        <v>1171</v>
      </c>
    </row>
    <row r="195" spans="1:7" x14ac:dyDescent="0.35">
      <c r="A195" t="s">
        <v>920</v>
      </c>
      <c r="B195" t="s">
        <v>344</v>
      </c>
      <c r="C195" t="s">
        <v>145</v>
      </c>
      <c r="D195" t="s">
        <v>314</v>
      </c>
      <c r="E195" t="s">
        <v>173</v>
      </c>
      <c r="F195" t="s">
        <v>1176</v>
      </c>
      <c r="G195" t="s">
        <v>1177</v>
      </c>
    </row>
    <row r="196" spans="1:7" x14ac:dyDescent="0.35">
      <c r="A196" t="s">
        <v>920</v>
      </c>
      <c r="B196" t="s">
        <v>345</v>
      </c>
      <c r="C196" t="s">
        <v>141</v>
      </c>
      <c r="D196" t="s">
        <v>314</v>
      </c>
      <c r="E196" t="s">
        <v>173</v>
      </c>
      <c r="F196" t="s">
        <v>1168</v>
      </c>
      <c r="G196" t="s">
        <v>1169</v>
      </c>
    </row>
    <row r="197" spans="1:7" x14ac:dyDescent="0.35">
      <c r="A197" t="s">
        <v>920</v>
      </c>
      <c r="B197" t="s">
        <v>346</v>
      </c>
      <c r="C197" t="s">
        <v>207</v>
      </c>
      <c r="D197" t="s">
        <v>314</v>
      </c>
      <c r="E197" t="s">
        <v>183</v>
      </c>
      <c r="F197" t="s">
        <v>1180</v>
      </c>
      <c r="G197" t="s">
        <v>1173</v>
      </c>
    </row>
    <row r="198" spans="1:7" x14ac:dyDescent="0.35">
      <c r="A198" t="s">
        <v>920</v>
      </c>
      <c r="B198" t="s">
        <v>347</v>
      </c>
      <c r="C198" t="s">
        <v>145</v>
      </c>
      <c r="D198" t="s">
        <v>314</v>
      </c>
      <c r="E198" t="s">
        <v>183</v>
      </c>
      <c r="F198" t="s">
        <v>1176</v>
      </c>
      <c r="G198" t="s">
        <v>1177</v>
      </c>
    </row>
    <row r="199" spans="1:7" x14ac:dyDescent="0.35">
      <c r="A199" t="s">
        <v>920</v>
      </c>
      <c r="B199" t="s">
        <v>348</v>
      </c>
      <c r="C199" t="s">
        <v>207</v>
      </c>
      <c r="D199" t="s">
        <v>314</v>
      </c>
      <c r="E199" t="s">
        <v>183</v>
      </c>
      <c r="F199" t="s">
        <v>1170</v>
      </c>
      <c r="G199" t="s">
        <v>1171</v>
      </c>
    </row>
    <row r="200" spans="1:7" x14ac:dyDescent="0.35">
      <c r="A200" t="s">
        <v>920</v>
      </c>
      <c r="B200" t="s">
        <v>349</v>
      </c>
      <c r="C200" t="s">
        <v>207</v>
      </c>
      <c r="D200" t="s">
        <v>314</v>
      </c>
      <c r="E200" t="s">
        <v>191</v>
      </c>
      <c r="F200" t="s">
        <v>1170</v>
      </c>
      <c r="G200" t="s">
        <v>1173</v>
      </c>
    </row>
    <row r="201" spans="1:7" x14ac:dyDescent="0.35">
      <c r="A201" t="s">
        <v>352</v>
      </c>
      <c r="B201" t="s">
        <v>353</v>
      </c>
      <c r="C201" t="s">
        <v>145</v>
      </c>
      <c r="D201" t="s">
        <v>354</v>
      </c>
      <c r="E201" t="s">
        <v>153</v>
      </c>
      <c r="F201" t="s">
        <v>1181</v>
      </c>
      <c r="G201" t="s">
        <v>1182</v>
      </c>
    </row>
    <row r="202" spans="1:7" x14ac:dyDescent="0.35">
      <c r="A202" t="s">
        <v>352</v>
      </c>
      <c r="B202" t="s">
        <v>355</v>
      </c>
      <c r="C202" t="s">
        <v>145</v>
      </c>
      <c r="D202" t="s">
        <v>354</v>
      </c>
      <c r="E202" t="s">
        <v>356</v>
      </c>
      <c r="F202" t="s">
        <v>1181</v>
      </c>
      <c r="G202" t="s">
        <v>1182</v>
      </c>
    </row>
    <row r="203" spans="1:7" x14ac:dyDescent="0.35">
      <c r="A203" t="s">
        <v>352</v>
      </c>
      <c r="B203" t="s">
        <v>357</v>
      </c>
      <c r="C203" t="s">
        <v>145</v>
      </c>
      <c r="D203" t="s">
        <v>354</v>
      </c>
      <c r="E203" t="s">
        <v>170</v>
      </c>
      <c r="F203" t="s">
        <v>1181</v>
      </c>
      <c r="G203" t="s">
        <v>1182</v>
      </c>
    </row>
    <row r="204" spans="1:7" x14ac:dyDescent="0.35">
      <c r="A204" t="s">
        <v>352</v>
      </c>
      <c r="B204" t="s">
        <v>358</v>
      </c>
      <c r="C204" t="s">
        <v>145</v>
      </c>
      <c r="D204" t="s">
        <v>354</v>
      </c>
      <c r="E204" t="s">
        <v>170</v>
      </c>
      <c r="F204" t="s">
        <v>1181</v>
      </c>
      <c r="G204" t="s">
        <v>1182</v>
      </c>
    </row>
    <row r="205" spans="1:7" x14ac:dyDescent="0.35">
      <c r="A205" t="s">
        <v>352</v>
      </c>
      <c r="B205" t="s">
        <v>359</v>
      </c>
      <c r="C205" t="s">
        <v>145</v>
      </c>
      <c r="D205" t="s">
        <v>354</v>
      </c>
      <c r="E205" t="s">
        <v>191</v>
      </c>
      <c r="F205" t="s">
        <v>1181</v>
      </c>
      <c r="G205" t="s">
        <v>1182</v>
      </c>
    </row>
    <row r="206" spans="1:7" x14ac:dyDescent="0.35">
      <c r="A206" t="s">
        <v>352</v>
      </c>
      <c r="B206" t="s">
        <v>360</v>
      </c>
      <c r="C206" t="s">
        <v>141</v>
      </c>
      <c r="D206" t="s">
        <v>361</v>
      </c>
      <c r="E206" t="s">
        <v>143</v>
      </c>
      <c r="F206" t="s">
        <v>1183</v>
      </c>
      <c r="G206" t="s">
        <v>1184</v>
      </c>
    </row>
    <row r="207" spans="1:7" x14ac:dyDescent="0.35">
      <c r="A207" t="s">
        <v>352</v>
      </c>
      <c r="B207" t="s">
        <v>362</v>
      </c>
      <c r="C207" t="s">
        <v>145</v>
      </c>
      <c r="D207" t="s">
        <v>361</v>
      </c>
      <c r="E207" t="s">
        <v>162</v>
      </c>
      <c r="F207" t="s">
        <v>1185</v>
      </c>
      <c r="G207" t="s">
        <v>1186</v>
      </c>
    </row>
    <row r="208" spans="1:7" x14ac:dyDescent="0.35">
      <c r="A208" t="s">
        <v>352</v>
      </c>
      <c r="B208" t="s">
        <v>363</v>
      </c>
      <c r="C208" t="s">
        <v>141</v>
      </c>
      <c r="D208" t="s">
        <v>361</v>
      </c>
      <c r="E208" t="s">
        <v>170</v>
      </c>
      <c r="F208" t="s">
        <v>1183</v>
      </c>
      <c r="G208" t="s">
        <v>1184</v>
      </c>
    </row>
    <row r="209" spans="1:7" x14ac:dyDescent="0.35">
      <c r="A209" t="s">
        <v>352</v>
      </c>
      <c r="B209" t="s">
        <v>364</v>
      </c>
      <c r="C209" t="s">
        <v>141</v>
      </c>
      <c r="D209" t="s">
        <v>361</v>
      </c>
      <c r="E209" t="s">
        <v>183</v>
      </c>
      <c r="F209" t="s">
        <v>1183</v>
      </c>
      <c r="G209" t="s">
        <v>1184</v>
      </c>
    </row>
    <row r="210" spans="1:7" x14ac:dyDescent="0.35">
      <c r="A210" t="s">
        <v>352</v>
      </c>
      <c r="B210" t="s">
        <v>366</v>
      </c>
      <c r="C210" t="s">
        <v>145</v>
      </c>
      <c r="D210" t="s">
        <v>361</v>
      </c>
      <c r="E210" t="s">
        <v>301</v>
      </c>
      <c r="F210" t="s">
        <v>1183</v>
      </c>
      <c r="G210" t="s">
        <v>1184</v>
      </c>
    </row>
    <row r="211" spans="1:7" x14ac:dyDescent="0.35">
      <c r="A211" t="s">
        <v>352</v>
      </c>
      <c r="B211" t="s">
        <v>367</v>
      </c>
      <c r="C211" t="s">
        <v>145</v>
      </c>
      <c r="D211" t="s">
        <v>361</v>
      </c>
      <c r="E211" t="s">
        <v>196</v>
      </c>
      <c r="F211" t="s">
        <v>1185</v>
      </c>
      <c r="G211" t="s">
        <v>1186</v>
      </c>
    </row>
    <row r="212" spans="1:7" x14ac:dyDescent="0.35">
      <c r="A212" t="s">
        <v>352</v>
      </c>
      <c r="B212" t="s">
        <v>1187</v>
      </c>
      <c r="C212" t="s">
        <v>145</v>
      </c>
      <c r="D212" t="s">
        <v>361</v>
      </c>
      <c r="E212" t="s">
        <v>196</v>
      </c>
      <c r="F212" t="s">
        <v>1185</v>
      </c>
      <c r="G212" t="s">
        <v>1186</v>
      </c>
    </row>
    <row r="213" spans="1:7" x14ac:dyDescent="0.35">
      <c r="A213" t="s">
        <v>352</v>
      </c>
      <c r="B213" t="s">
        <v>1188</v>
      </c>
      <c r="C213" t="s">
        <v>239</v>
      </c>
      <c r="D213" t="s">
        <v>361</v>
      </c>
      <c r="E213" t="s">
        <v>1117</v>
      </c>
      <c r="F213" t="s">
        <v>1189</v>
      </c>
      <c r="G213" t="s">
        <v>1190</v>
      </c>
    </row>
    <row r="214" spans="1:7" x14ac:dyDescent="0.35">
      <c r="A214" t="s">
        <v>352</v>
      </c>
      <c r="B214" t="s">
        <v>1191</v>
      </c>
      <c r="C214" t="s">
        <v>145</v>
      </c>
      <c r="D214" t="s">
        <v>361</v>
      </c>
      <c r="E214" t="s">
        <v>1117</v>
      </c>
      <c r="F214" t="s">
        <v>1185</v>
      </c>
      <c r="G214" t="s">
        <v>1186</v>
      </c>
    </row>
    <row r="215" spans="1:7" x14ac:dyDescent="0.35">
      <c r="A215" t="s">
        <v>352</v>
      </c>
      <c r="B215" t="s">
        <v>1192</v>
      </c>
      <c r="C215" t="s">
        <v>145</v>
      </c>
      <c r="D215" t="s">
        <v>361</v>
      </c>
      <c r="E215" t="s">
        <v>1117</v>
      </c>
      <c r="F215" t="s">
        <v>1185</v>
      </c>
      <c r="G215" t="s">
        <v>1186</v>
      </c>
    </row>
    <row r="216" spans="1:7" x14ac:dyDescent="0.35">
      <c r="A216" t="s">
        <v>352</v>
      </c>
      <c r="B216" t="s">
        <v>1193</v>
      </c>
      <c r="C216" t="s">
        <v>141</v>
      </c>
      <c r="D216" t="s">
        <v>361</v>
      </c>
      <c r="E216" t="s">
        <v>1117</v>
      </c>
      <c r="F216" t="s">
        <v>1194</v>
      </c>
      <c r="G216" t="s">
        <v>1195</v>
      </c>
    </row>
    <row r="217" spans="1:7" x14ac:dyDescent="0.35">
      <c r="A217" t="s">
        <v>352</v>
      </c>
      <c r="B217" t="s">
        <v>1196</v>
      </c>
      <c r="C217" t="s">
        <v>141</v>
      </c>
      <c r="D217" t="s">
        <v>361</v>
      </c>
      <c r="E217" t="s">
        <v>1117</v>
      </c>
      <c r="F217" t="s">
        <v>1194</v>
      </c>
      <c r="G217" t="s">
        <v>1195</v>
      </c>
    </row>
    <row r="218" spans="1:7" x14ac:dyDescent="0.35">
      <c r="A218" t="s">
        <v>352</v>
      </c>
      <c r="B218" t="s">
        <v>368</v>
      </c>
      <c r="C218" t="s">
        <v>145</v>
      </c>
      <c r="D218" t="s">
        <v>369</v>
      </c>
      <c r="E218" t="s">
        <v>214</v>
      </c>
      <c r="F218" t="s">
        <v>1197</v>
      </c>
      <c r="G218" t="s">
        <v>1198</v>
      </c>
    </row>
    <row r="219" spans="1:7" x14ac:dyDescent="0.35">
      <c r="A219" t="s">
        <v>352</v>
      </c>
      <c r="B219" t="s">
        <v>370</v>
      </c>
      <c r="C219" t="s">
        <v>207</v>
      </c>
      <c r="D219" t="s">
        <v>369</v>
      </c>
      <c r="E219" t="s">
        <v>214</v>
      </c>
      <c r="F219" t="s">
        <v>1199</v>
      </c>
      <c r="G219" t="s">
        <v>1200</v>
      </c>
    </row>
    <row r="220" spans="1:7" x14ac:dyDescent="0.35">
      <c r="A220" t="s">
        <v>352</v>
      </c>
      <c r="B220" t="s">
        <v>371</v>
      </c>
      <c r="C220" t="s">
        <v>207</v>
      </c>
      <c r="D220" t="s">
        <v>369</v>
      </c>
      <c r="E220" t="s">
        <v>214</v>
      </c>
      <c r="F220" t="s">
        <v>1201</v>
      </c>
      <c r="G220" t="s">
        <v>1202</v>
      </c>
    </row>
    <row r="221" spans="1:7" x14ac:dyDescent="0.35">
      <c r="A221" t="s">
        <v>352</v>
      </c>
      <c r="B221" t="s">
        <v>372</v>
      </c>
      <c r="C221" t="s">
        <v>207</v>
      </c>
      <c r="D221" t="s">
        <v>369</v>
      </c>
      <c r="E221" t="s">
        <v>143</v>
      </c>
      <c r="F221" t="s">
        <v>1201</v>
      </c>
      <c r="G221" t="s">
        <v>1202</v>
      </c>
    </row>
    <row r="222" spans="1:7" x14ac:dyDescent="0.35">
      <c r="A222" t="s">
        <v>352</v>
      </c>
      <c r="B222" t="s">
        <v>373</v>
      </c>
      <c r="C222" t="s">
        <v>207</v>
      </c>
      <c r="D222" t="s">
        <v>369</v>
      </c>
      <c r="E222" t="s">
        <v>143</v>
      </c>
      <c r="F222" t="s">
        <v>1201</v>
      </c>
      <c r="G222" t="s">
        <v>1202</v>
      </c>
    </row>
    <row r="223" spans="1:7" x14ac:dyDescent="0.35">
      <c r="A223" t="s">
        <v>352</v>
      </c>
      <c r="B223" t="s">
        <v>374</v>
      </c>
      <c r="C223" t="s">
        <v>145</v>
      </c>
      <c r="D223" t="s">
        <v>369</v>
      </c>
      <c r="E223" t="s">
        <v>143</v>
      </c>
      <c r="F223" t="s">
        <v>1203</v>
      </c>
      <c r="G223" t="s">
        <v>1204</v>
      </c>
    </row>
    <row r="224" spans="1:7" x14ac:dyDescent="0.35">
      <c r="A224" t="s">
        <v>352</v>
      </c>
      <c r="B224" t="s">
        <v>375</v>
      </c>
      <c r="C224" t="s">
        <v>207</v>
      </c>
      <c r="D224" t="s">
        <v>369</v>
      </c>
      <c r="E224" t="s">
        <v>149</v>
      </c>
      <c r="F224" t="s">
        <v>1205</v>
      </c>
      <c r="G224" t="s">
        <v>1206</v>
      </c>
    </row>
    <row r="225" spans="1:7" x14ac:dyDescent="0.35">
      <c r="A225" t="s">
        <v>352</v>
      </c>
      <c r="B225" t="s">
        <v>376</v>
      </c>
      <c r="C225" t="s">
        <v>207</v>
      </c>
      <c r="D225" t="s">
        <v>369</v>
      </c>
      <c r="E225" t="s">
        <v>149</v>
      </c>
      <c r="F225" t="s">
        <v>1207</v>
      </c>
      <c r="G225" t="s">
        <v>1208</v>
      </c>
    </row>
    <row r="226" spans="1:7" x14ac:dyDescent="0.35">
      <c r="A226" t="s">
        <v>352</v>
      </c>
      <c r="B226" t="s">
        <v>377</v>
      </c>
      <c r="C226" t="s">
        <v>145</v>
      </c>
      <c r="D226" t="s">
        <v>369</v>
      </c>
      <c r="E226" t="s">
        <v>149</v>
      </c>
      <c r="F226" t="s">
        <v>1209</v>
      </c>
      <c r="G226" t="s">
        <v>1208</v>
      </c>
    </row>
    <row r="227" spans="1:7" x14ac:dyDescent="0.35">
      <c r="A227" t="s">
        <v>352</v>
      </c>
      <c r="B227" t="s">
        <v>378</v>
      </c>
      <c r="C227" t="s">
        <v>145</v>
      </c>
      <c r="D227" t="s">
        <v>369</v>
      </c>
      <c r="E227" t="s">
        <v>153</v>
      </c>
      <c r="F227" t="s">
        <v>1210</v>
      </c>
      <c r="G227" t="s">
        <v>1211</v>
      </c>
    </row>
    <row r="228" spans="1:7" x14ac:dyDescent="0.35">
      <c r="A228" t="s">
        <v>352</v>
      </c>
      <c r="B228" t="s">
        <v>379</v>
      </c>
      <c r="C228" t="s">
        <v>145</v>
      </c>
      <c r="D228" t="s">
        <v>369</v>
      </c>
      <c r="E228" t="s">
        <v>153</v>
      </c>
      <c r="F228" t="s">
        <v>1209</v>
      </c>
      <c r="G228" t="s">
        <v>1208</v>
      </c>
    </row>
    <row r="229" spans="1:7" x14ac:dyDescent="0.35">
      <c r="A229" t="s">
        <v>352</v>
      </c>
      <c r="B229" t="s">
        <v>380</v>
      </c>
      <c r="C229" t="s">
        <v>141</v>
      </c>
      <c r="D229" t="s">
        <v>369</v>
      </c>
      <c r="E229" t="s">
        <v>153</v>
      </c>
      <c r="F229" t="s">
        <v>1212</v>
      </c>
      <c r="G229" t="s">
        <v>1213</v>
      </c>
    </row>
    <row r="230" spans="1:7" x14ac:dyDescent="0.35">
      <c r="A230" t="s">
        <v>352</v>
      </c>
      <c r="B230" t="s">
        <v>381</v>
      </c>
      <c r="C230" t="s">
        <v>207</v>
      </c>
      <c r="D230" t="s">
        <v>369</v>
      </c>
      <c r="E230" t="s">
        <v>153</v>
      </c>
      <c r="F230" t="s">
        <v>1201</v>
      </c>
      <c r="G230" t="s">
        <v>1202</v>
      </c>
    </row>
    <row r="231" spans="1:7" x14ac:dyDescent="0.35">
      <c r="A231" t="s">
        <v>352</v>
      </c>
      <c r="B231" t="s">
        <v>382</v>
      </c>
      <c r="C231" t="s">
        <v>145</v>
      </c>
      <c r="D231" t="s">
        <v>369</v>
      </c>
      <c r="E231" t="s">
        <v>156</v>
      </c>
      <c r="F231" t="s">
        <v>1214</v>
      </c>
      <c r="G231" t="s">
        <v>1215</v>
      </c>
    </row>
    <row r="232" spans="1:7" x14ac:dyDescent="0.35">
      <c r="A232" t="s">
        <v>352</v>
      </c>
      <c r="B232" t="s">
        <v>383</v>
      </c>
      <c r="C232" t="s">
        <v>207</v>
      </c>
      <c r="D232" t="s">
        <v>369</v>
      </c>
      <c r="E232" t="s">
        <v>156</v>
      </c>
      <c r="F232" t="s">
        <v>1216</v>
      </c>
      <c r="G232" t="s">
        <v>1204</v>
      </c>
    </row>
    <row r="233" spans="1:7" x14ac:dyDescent="0.35">
      <c r="A233" t="s">
        <v>352</v>
      </c>
      <c r="B233" t="s">
        <v>384</v>
      </c>
      <c r="C233" t="s">
        <v>207</v>
      </c>
      <c r="D233" t="s">
        <v>369</v>
      </c>
      <c r="E233" t="s">
        <v>156</v>
      </c>
      <c r="F233" t="s">
        <v>1201</v>
      </c>
      <c r="G233" t="s">
        <v>1202</v>
      </c>
    </row>
    <row r="234" spans="1:7" x14ac:dyDescent="0.35">
      <c r="A234" t="s">
        <v>352</v>
      </c>
      <c r="B234" t="s">
        <v>385</v>
      </c>
      <c r="C234" t="s">
        <v>207</v>
      </c>
      <c r="D234" t="s">
        <v>369</v>
      </c>
      <c r="E234" t="s">
        <v>162</v>
      </c>
      <c r="F234" t="s">
        <v>1201</v>
      </c>
      <c r="G234" t="s">
        <v>1202</v>
      </c>
    </row>
    <row r="235" spans="1:7" x14ac:dyDescent="0.35">
      <c r="A235" t="s">
        <v>352</v>
      </c>
      <c r="B235" t="s">
        <v>386</v>
      </c>
      <c r="C235" t="s">
        <v>145</v>
      </c>
      <c r="D235" t="s">
        <v>369</v>
      </c>
      <c r="E235" t="s">
        <v>162</v>
      </c>
      <c r="F235" t="s">
        <v>1217</v>
      </c>
      <c r="G235" t="s">
        <v>1218</v>
      </c>
    </row>
    <row r="236" spans="1:7" x14ac:dyDescent="0.35">
      <c r="A236" t="s">
        <v>352</v>
      </c>
      <c r="B236" t="s">
        <v>387</v>
      </c>
      <c r="C236" t="s">
        <v>207</v>
      </c>
      <c r="D236" t="s">
        <v>369</v>
      </c>
      <c r="E236" t="s">
        <v>162</v>
      </c>
      <c r="F236" t="s">
        <v>1199</v>
      </c>
      <c r="G236" t="s">
        <v>1200</v>
      </c>
    </row>
    <row r="237" spans="1:7" x14ac:dyDescent="0.35">
      <c r="A237" t="s">
        <v>352</v>
      </c>
      <c r="B237" t="s">
        <v>388</v>
      </c>
      <c r="C237" t="s">
        <v>207</v>
      </c>
      <c r="D237" t="s">
        <v>369</v>
      </c>
      <c r="E237" t="s">
        <v>162</v>
      </c>
      <c r="F237" t="s">
        <v>1201</v>
      </c>
      <c r="G237" t="s">
        <v>1202</v>
      </c>
    </row>
    <row r="238" spans="1:7" x14ac:dyDescent="0.35">
      <c r="A238" t="s">
        <v>352</v>
      </c>
      <c r="B238" t="s">
        <v>389</v>
      </c>
      <c r="C238" t="s">
        <v>145</v>
      </c>
      <c r="D238" t="s">
        <v>369</v>
      </c>
      <c r="E238" t="s">
        <v>162</v>
      </c>
      <c r="F238" t="s">
        <v>1210</v>
      </c>
      <c r="G238" t="s">
        <v>1211</v>
      </c>
    </row>
    <row r="239" spans="1:7" x14ac:dyDescent="0.35">
      <c r="A239" t="s">
        <v>352</v>
      </c>
      <c r="B239" t="s">
        <v>390</v>
      </c>
      <c r="C239" t="s">
        <v>145</v>
      </c>
      <c r="D239" t="s">
        <v>369</v>
      </c>
      <c r="E239" t="s">
        <v>162</v>
      </c>
      <c r="F239" t="s">
        <v>1219</v>
      </c>
      <c r="G239" t="s">
        <v>1220</v>
      </c>
    </row>
    <row r="240" spans="1:7" x14ac:dyDescent="0.35">
      <c r="A240" t="s">
        <v>352</v>
      </c>
      <c r="B240" t="s">
        <v>391</v>
      </c>
      <c r="C240" t="s">
        <v>145</v>
      </c>
      <c r="D240" t="s">
        <v>369</v>
      </c>
      <c r="E240" t="s">
        <v>162</v>
      </c>
      <c r="F240" t="s">
        <v>1209</v>
      </c>
      <c r="G240" t="s">
        <v>1208</v>
      </c>
    </row>
    <row r="241" spans="1:7" x14ac:dyDescent="0.35">
      <c r="A241" t="s">
        <v>352</v>
      </c>
      <c r="B241" t="s">
        <v>392</v>
      </c>
      <c r="C241" t="s">
        <v>145</v>
      </c>
      <c r="D241" t="s">
        <v>369</v>
      </c>
      <c r="E241" t="s">
        <v>165</v>
      </c>
      <c r="F241" t="s">
        <v>1214</v>
      </c>
      <c r="G241" t="s">
        <v>1221</v>
      </c>
    </row>
    <row r="242" spans="1:7" x14ac:dyDescent="0.35">
      <c r="A242" t="s">
        <v>352</v>
      </c>
      <c r="B242" t="s">
        <v>393</v>
      </c>
      <c r="C242" t="s">
        <v>145</v>
      </c>
      <c r="D242" t="s">
        <v>369</v>
      </c>
      <c r="E242" t="s">
        <v>165</v>
      </c>
      <c r="F242" t="s">
        <v>1214</v>
      </c>
      <c r="G242" t="s">
        <v>1221</v>
      </c>
    </row>
    <row r="243" spans="1:7" x14ac:dyDescent="0.35">
      <c r="A243" t="s">
        <v>352</v>
      </c>
      <c r="B243" t="s">
        <v>394</v>
      </c>
      <c r="C243" t="s">
        <v>239</v>
      </c>
      <c r="D243" t="s">
        <v>369</v>
      </c>
      <c r="E243" t="s">
        <v>165</v>
      </c>
      <c r="F243" t="s">
        <v>1217</v>
      </c>
      <c r="G243" t="s">
        <v>1218</v>
      </c>
    </row>
    <row r="244" spans="1:7" x14ac:dyDescent="0.35">
      <c r="A244" t="s">
        <v>352</v>
      </c>
      <c r="B244" t="s">
        <v>395</v>
      </c>
      <c r="C244" t="s">
        <v>239</v>
      </c>
      <c r="D244" t="s">
        <v>369</v>
      </c>
      <c r="E244" t="s">
        <v>165</v>
      </c>
      <c r="F244" t="s">
        <v>1217</v>
      </c>
      <c r="G244" t="s">
        <v>1218</v>
      </c>
    </row>
    <row r="245" spans="1:7" x14ac:dyDescent="0.35">
      <c r="A245" t="s">
        <v>352</v>
      </c>
      <c r="B245" t="s">
        <v>396</v>
      </c>
      <c r="C245" t="s">
        <v>239</v>
      </c>
      <c r="D245" t="s">
        <v>369</v>
      </c>
      <c r="E245" t="s">
        <v>165</v>
      </c>
      <c r="F245" t="s">
        <v>1217</v>
      </c>
      <c r="G245" t="s">
        <v>1218</v>
      </c>
    </row>
    <row r="246" spans="1:7" x14ac:dyDescent="0.35">
      <c r="A246" t="s">
        <v>352</v>
      </c>
      <c r="B246" t="s">
        <v>397</v>
      </c>
      <c r="C246" t="s">
        <v>239</v>
      </c>
      <c r="D246" t="s">
        <v>369</v>
      </c>
      <c r="E246" t="s">
        <v>165</v>
      </c>
      <c r="F246" t="s">
        <v>1217</v>
      </c>
      <c r="G246" t="s">
        <v>1218</v>
      </c>
    </row>
    <row r="247" spans="1:7" x14ac:dyDescent="0.35">
      <c r="A247" t="s">
        <v>352</v>
      </c>
      <c r="B247" t="s">
        <v>398</v>
      </c>
      <c r="C247" t="s">
        <v>239</v>
      </c>
      <c r="D247" t="s">
        <v>369</v>
      </c>
      <c r="E247" t="s">
        <v>165</v>
      </c>
      <c r="F247" t="s">
        <v>1217</v>
      </c>
      <c r="G247" t="s">
        <v>1218</v>
      </c>
    </row>
    <row r="248" spans="1:7" x14ac:dyDescent="0.35">
      <c r="A248" t="s">
        <v>352</v>
      </c>
      <c r="B248" t="s">
        <v>399</v>
      </c>
      <c r="C248" t="s">
        <v>239</v>
      </c>
      <c r="D248" t="s">
        <v>369</v>
      </c>
      <c r="E248" t="s">
        <v>165</v>
      </c>
      <c r="F248" t="s">
        <v>1217</v>
      </c>
      <c r="G248" t="s">
        <v>1218</v>
      </c>
    </row>
    <row r="249" spans="1:7" x14ac:dyDescent="0.35">
      <c r="A249" t="s">
        <v>352</v>
      </c>
      <c r="B249" t="s">
        <v>400</v>
      </c>
      <c r="C249" t="s">
        <v>239</v>
      </c>
      <c r="D249" t="s">
        <v>369</v>
      </c>
      <c r="E249" t="s">
        <v>165</v>
      </c>
      <c r="F249" t="s">
        <v>1217</v>
      </c>
      <c r="G249" t="s">
        <v>1218</v>
      </c>
    </row>
    <row r="250" spans="1:7" x14ac:dyDescent="0.35">
      <c r="A250" t="s">
        <v>352</v>
      </c>
      <c r="B250" t="s">
        <v>401</v>
      </c>
      <c r="C250" t="s">
        <v>239</v>
      </c>
      <c r="D250" t="s">
        <v>369</v>
      </c>
      <c r="E250" t="s">
        <v>165</v>
      </c>
      <c r="F250" t="s">
        <v>1217</v>
      </c>
      <c r="G250" t="s">
        <v>1218</v>
      </c>
    </row>
    <row r="251" spans="1:7" x14ac:dyDescent="0.35">
      <c r="A251" t="s">
        <v>352</v>
      </c>
      <c r="B251" t="s">
        <v>402</v>
      </c>
      <c r="C251" t="s">
        <v>239</v>
      </c>
      <c r="D251" t="s">
        <v>369</v>
      </c>
      <c r="E251" t="s">
        <v>165</v>
      </c>
      <c r="F251" t="s">
        <v>1217</v>
      </c>
      <c r="G251" t="s">
        <v>1218</v>
      </c>
    </row>
    <row r="252" spans="1:7" x14ac:dyDescent="0.35">
      <c r="A252" t="s">
        <v>352</v>
      </c>
      <c r="B252" t="s">
        <v>403</v>
      </c>
      <c r="C252" t="s">
        <v>239</v>
      </c>
      <c r="D252" t="s">
        <v>369</v>
      </c>
      <c r="E252" t="s">
        <v>165</v>
      </c>
      <c r="F252" t="s">
        <v>1217</v>
      </c>
      <c r="G252" t="s">
        <v>1218</v>
      </c>
    </row>
    <row r="253" spans="1:7" x14ac:dyDescent="0.35">
      <c r="A253" t="s">
        <v>352</v>
      </c>
      <c r="B253" t="s">
        <v>404</v>
      </c>
      <c r="C253" t="s">
        <v>207</v>
      </c>
      <c r="D253" t="s">
        <v>369</v>
      </c>
      <c r="E253" t="s">
        <v>165</v>
      </c>
      <c r="F253" t="s">
        <v>1199</v>
      </c>
      <c r="G253" t="s">
        <v>1200</v>
      </c>
    </row>
    <row r="254" spans="1:7" x14ac:dyDescent="0.35">
      <c r="A254" t="s">
        <v>352</v>
      </c>
      <c r="B254" t="s">
        <v>405</v>
      </c>
      <c r="C254" t="s">
        <v>212</v>
      </c>
      <c r="D254" t="s">
        <v>369</v>
      </c>
      <c r="E254" t="s">
        <v>356</v>
      </c>
      <c r="F254" t="s">
        <v>1222</v>
      </c>
      <c r="G254" t="s">
        <v>1223</v>
      </c>
    </row>
    <row r="255" spans="1:7" x14ac:dyDescent="0.35">
      <c r="A255" t="s">
        <v>352</v>
      </c>
      <c r="B255" t="s">
        <v>406</v>
      </c>
      <c r="C255" t="s">
        <v>207</v>
      </c>
      <c r="D255" t="s">
        <v>369</v>
      </c>
      <c r="E255" t="s">
        <v>356</v>
      </c>
      <c r="F255" t="s">
        <v>1216</v>
      </c>
      <c r="G255" t="s">
        <v>1204</v>
      </c>
    </row>
    <row r="256" spans="1:7" x14ac:dyDescent="0.35">
      <c r="A256" t="s">
        <v>352</v>
      </c>
      <c r="B256" t="s">
        <v>407</v>
      </c>
      <c r="C256" t="s">
        <v>207</v>
      </c>
      <c r="D256" t="s">
        <v>369</v>
      </c>
      <c r="E256" t="s">
        <v>356</v>
      </c>
      <c r="F256" t="s">
        <v>1201</v>
      </c>
      <c r="G256" t="s">
        <v>1202</v>
      </c>
    </row>
    <row r="257" spans="1:7" x14ac:dyDescent="0.35">
      <c r="A257" t="s">
        <v>352</v>
      </c>
      <c r="B257" t="s">
        <v>408</v>
      </c>
      <c r="C257" t="s">
        <v>145</v>
      </c>
      <c r="D257" t="s">
        <v>369</v>
      </c>
      <c r="E257" t="s">
        <v>356</v>
      </c>
      <c r="F257" t="s">
        <v>1214</v>
      </c>
      <c r="G257" t="s">
        <v>1215</v>
      </c>
    </row>
    <row r="258" spans="1:7" x14ac:dyDescent="0.35">
      <c r="A258" t="s">
        <v>352</v>
      </c>
      <c r="B258" t="s">
        <v>409</v>
      </c>
      <c r="C258" t="s">
        <v>217</v>
      </c>
      <c r="D258" t="s">
        <v>369</v>
      </c>
      <c r="E258" t="s">
        <v>167</v>
      </c>
      <c r="F258" t="s">
        <v>1197</v>
      </c>
      <c r="G258" t="s">
        <v>1198</v>
      </c>
    </row>
    <row r="259" spans="1:7" x14ac:dyDescent="0.35">
      <c r="A259" t="s">
        <v>352</v>
      </c>
      <c r="B259" t="s">
        <v>410</v>
      </c>
      <c r="C259" t="s">
        <v>145</v>
      </c>
      <c r="D259" t="s">
        <v>369</v>
      </c>
      <c r="E259" t="s">
        <v>167</v>
      </c>
      <c r="F259" t="s">
        <v>1197</v>
      </c>
      <c r="G259" t="s">
        <v>1198</v>
      </c>
    </row>
    <row r="260" spans="1:7" x14ac:dyDescent="0.35">
      <c r="A260" t="s">
        <v>352</v>
      </c>
      <c r="B260" t="s">
        <v>411</v>
      </c>
      <c r="C260" t="s">
        <v>207</v>
      </c>
      <c r="D260" t="s">
        <v>369</v>
      </c>
      <c r="E260" t="s">
        <v>167</v>
      </c>
      <c r="F260" t="s">
        <v>1201</v>
      </c>
      <c r="G260" t="s">
        <v>1202</v>
      </c>
    </row>
    <row r="261" spans="1:7" x14ac:dyDescent="0.35">
      <c r="A261" t="s">
        <v>352</v>
      </c>
      <c r="B261" t="s">
        <v>412</v>
      </c>
      <c r="C261" t="s">
        <v>145</v>
      </c>
      <c r="D261" t="s">
        <v>369</v>
      </c>
      <c r="E261" t="s">
        <v>167</v>
      </c>
      <c r="F261" t="s">
        <v>1203</v>
      </c>
      <c r="G261" t="s">
        <v>1204</v>
      </c>
    </row>
    <row r="262" spans="1:7" x14ac:dyDescent="0.35">
      <c r="A262" t="s">
        <v>352</v>
      </c>
      <c r="B262" t="s">
        <v>413</v>
      </c>
      <c r="C262" t="s">
        <v>145</v>
      </c>
      <c r="D262" t="s">
        <v>369</v>
      </c>
      <c r="E262" t="s">
        <v>167</v>
      </c>
      <c r="F262" t="s">
        <v>1214</v>
      </c>
      <c r="G262" t="s">
        <v>1221</v>
      </c>
    </row>
    <row r="263" spans="1:7" x14ac:dyDescent="0.35">
      <c r="A263" t="s">
        <v>352</v>
      </c>
      <c r="B263" t="s">
        <v>414</v>
      </c>
      <c r="C263" t="s">
        <v>207</v>
      </c>
      <c r="D263" t="s">
        <v>369</v>
      </c>
      <c r="E263" t="s">
        <v>170</v>
      </c>
      <c r="F263" t="s">
        <v>1201</v>
      </c>
      <c r="G263" t="s">
        <v>1202</v>
      </c>
    </row>
    <row r="264" spans="1:7" x14ac:dyDescent="0.35">
      <c r="A264" t="s">
        <v>352</v>
      </c>
      <c r="B264" t="s">
        <v>415</v>
      </c>
      <c r="C264" t="s">
        <v>145</v>
      </c>
      <c r="D264" t="s">
        <v>369</v>
      </c>
      <c r="E264" t="s">
        <v>170</v>
      </c>
      <c r="F264" t="s">
        <v>1224</v>
      </c>
      <c r="G264" t="s">
        <v>1225</v>
      </c>
    </row>
    <row r="265" spans="1:7" x14ac:dyDescent="0.35">
      <c r="A265" t="s">
        <v>352</v>
      </c>
      <c r="B265" t="s">
        <v>416</v>
      </c>
      <c r="C265" t="s">
        <v>217</v>
      </c>
      <c r="D265" t="s">
        <v>369</v>
      </c>
      <c r="E265" t="s">
        <v>170</v>
      </c>
      <c r="F265" t="s">
        <v>1197</v>
      </c>
      <c r="G265" t="s">
        <v>1198</v>
      </c>
    </row>
    <row r="266" spans="1:7" x14ac:dyDescent="0.35">
      <c r="A266" t="s">
        <v>352</v>
      </c>
      <c r="B266" t="s">
        <v>417</v>
      </c>
      <c r="C266" t="s">
        <v>207</v>
      </c>
      <c r="D266" t="s">
        <v>369</v>
      </c>
      <c r="E266" t="s">
        <v>173</v>
      </c>
      <c r="F266" t="s">
        <v>1201</v>
      </c>
      <c r="G266" t="s">
        <v>1202</v>
      </c>
    </row>
    <row r="267" spans="1:7" x14ac:dyDescent="0.35">
      <c r="A267" t="s">
        <v>352</v>
      </c>
      <c r="B267" t="s">
        <v>418</v>
      </c>
      <c r="C267" t="s">
        <v>207</v>
      </c>
      <c r="D267" t="s">
        <v>369</v>
      </c>
      <c r="E267" t="s">
        <v>173</v>
      </c>
      <c r="F267" t="s">
        <v>1216</v>
      </c>
      <c r="G267" t="s">
        <v>1204</v>
      </c>
    </row>
    <row r="268" spans="1:7" x14ac:dyDescent="0.35">
      <c r="A268" t="s">
        <v>352</v>
      </c>
      <c r="B268" t="s">
        <v>419</v>
      </c>
      <c r="C268" t="s">
        <v>145</v>
      </c>
      <c r="D268" t="s">
        <v>369</v>
      </c>
      <c r="E268" t="s">
        <v>178</v>
      </c>
      <c r="F268" t="s">
        <v>1203</v>
      </c>
      <c r="G268" t="s">
        <v>1204</v>
      </c>
    </row>
    <row r="269" spans="1:7" x14ac:dyDescent="0.35">
      <c r="A269" t="s">
        <v>352</v>
      </c>
      <c r="B269" t="s">
        <v>420</v>
      </c>
      <c r="C269" t="s">
        <v>145</v>
      </c>
      <c r="D269" t="s">
        <v>369</v>
      </c>
      <c r="E269" t="s">
        <v>178</v>
      </c>
      <c r="F269" t="s">
        <v>1197</v>
      </c>
      <c r="G269" t="s">
        <v>1198</v>
      </c>
    </row>
    <row r="270" spans="1:7" x14ac:dyDescent="0.35">
      <c r="A270" t="s">
        <v>352</v>
      </c>
      <c r="B270" t="s">
        <v>421</v>
      </c>
      <c r="C270" t="s">
        <v>145</v>
      </c>
      <c r="D270" t="s">
        <v>369</v>
      </c>
      <c r="E270" t="s">
        <v>178</v>
      </c>
      <c r="F270" t="s">
        <v>1210</v>
      </c>
      <c r="G270" t="s">
        <v>1211</v>
      </c>
    </row>
    <row r="271" spans="1:7" x14ac:dyDescent="0.35">
      <c r="A271" t="s">
        <v>352</v>
      </c>
      <c r="B271" t="s">
        <v>422</v>
      </c>
      <c r="C271" t="s">
        <v>207</v>
      </c>
      <c r="D271" t="s">
        <v>369</v>
      </c>
      <c r="E271" t="s">
        <v>178</v>
      </c>
      <c r="F271" t="s">
        <v>1199</v>
      </c>
      <c r="G271" t="s">
        <v>1200</v>
      </c>
    </row>
    <row r="272" spans="1:7" x14ac:dyDescent="0.35">
      <c r="A272" t="s">
        <v>352</v>
      </c>
      <c r="B272" t="s">
        <v>423</v>
      </c>
      <c r="C272" t="s">
        <v>207</v>
      </c>
      <c r="D272" t="s">
        <v>369</v>
      </c>
      <c r="E272" t="s">
        <v>178</v>
      </c>
      <c r="F272" t="s">
        <v>1201</v>
      </c>
      <c r="G272" t="s">
        <v>1202</v>
      </c>
    </row>
    <row r="273" spans="1:7" x14ac:dyDescent="0.35">
      <c r="A273" t="s">
        <v>352</v>
      </c>
      <c r="B273" t="s">
        <v>424</v>
      </c>
      <c r="C273" t="s">
        <v>145</v>
      </c>
      <c r="D273" t="s">
        <v>369</v>
      </c>
      <c r="E273" t="s">
        <v>178</v>
      </c>
      <c r="F273" t="s">
        <v>1226</v>
      </c>
      <c r="G273" t="s">
        <v>1227</v>
      </c>
    </row>
    <row r="274" spans="1:7" x14ac:dyDescent="0.35">
      <c r="A274" t="s">
        <v>352</v>
      </c>
      <c r="B274" t="s">
        <v>425</v>
      </c>
      <c r="C274" t="s">
        <v>145</v>
      </c>
      <c r="D274" t="s">
        <v>369</v>
      </c>
      <c r="E274" t="s">
        <v>183</v>
      </c>
      <c r="F274" t="s">
        <v>1219</v>
      </c>
      <c r="G274" t="s">
        <v>1220</v>
      </c>
    </row>
    <row r="275" spans="1:7" x14ac:dyDescent="0.35">
      <c r="A275" t="s">
        <v>352</v>
      </c>
      <c r="B275" t="s">
        <v>426</v>
      </c>
      <c r="C275" t="s">
        <v>207</v>
      </c>
      <c r="D275" t="s">
        <v>369</v>
      </c>
      <c r="E275" t="s">
        <v>183</v>
      </c>
      <c r="F275" t="s">
        <v>1201</v>
      </c>
      <c r="G275" t="s">
        <v>1202</v>
      </c>
    </row>
    <row r="276" spans="1:7" x14ac:dyDescent="0.35">
      <c r="A276" t="s">
        <v>352</v>
      </c>
      <c r="B276" t="s">
        <v>427</v>
      </c>
      <c r="C276" t="s">
        <v>207</v>
      </c>
      <c r="D276" t="s">
        <v>369</v>
      </c>
      <c r="E276" t="s">
        <v>183</v>
      </c>
      <c r="F276" t="s">
        <v>1207</v>
      </c>
      <c r="G276" t="s">
        <v>1208</v>
      </c>
    </row>
    <row r="277" spans="1:7" x14ac:dyDescent="0.35">
      <c r="A277" t="s">
        <v>352</v>
      </c>
      <c r="B277" t="s">
        <v>428</v>
      </c>
      <c r="C277" t="s">
        <v>207</v>
      </c>
      <c r="D277" t="s">
        <v>369</v>
      </c>
      <c r="E277" t="s">
        <v>183</v>
      </c>
      <c r="F277" t="s">
        <v>1201</v>
      </c>
      <c r="G277" t="s">
        <v>1202</v>
      </c>
    </row>
    <row r="278" spans="1:7" x14ac:dyDescent="0.35">
      <c r="A278" t="s">
        <v>352</v>
      </c>
      <c r="B278" t="s">
        <v>429</v>
      </c>
      <c r="C278" t="s">
        <v>207</v>
      </c>
      <c r="D278" t="s">
        <v>369</v>
      </c>
      <c r="E278" t="s">
        <v>183</v>
      </c>
      <c r="F278" t="s">
        <v>1201</v>
      </c>
      <c r="G278" t="s">
        <v>1202</v>
      </c>
    </row>
    <row r="279" spans="1:7" x14ac:dyDescent="0.35">
      <c r="A279" t="s">
        <v>352</v>
      </c>
      <c r="B279" t="s">
        <v>430</v>
      </c>
      <c r="C279" t="s">
        <v>207</v>
      </c>
      <c r="D279" t="s">
        <v>369</v>
      </c>
      <c r="E279" t="s">
        <v>183</v>
      </c>
      <c r="F279" t="s">
        <v>1199</v>
      </c>
      <c r="G279" t="s">
        <v>1200</v>
      </c>
    </row>
    <row r="280" spans="1:7" x14ac:dyDescent="0.35">
      <c r="A280" t="s">
        <v>352</v>
      </c>
      <c r="B280" t="s">
        <v>431</v>
      </c>
      <c r="C280" t="s">
        <v>207</v>
      </c>
      <c r="D280" t="s">
        <v>369</v>
      </c>
      <c r="E280" t="s">
        <v>301</v>
      </c>
      <c r="F280" t="s">
        <v>1222</v>
      </c>
      <c r="G280" t="s">
        <v>1223</v>
      </c>
    </row>
    <row r="281" spans="1:7" x14ac:dyDescent="0.35">
      <c r="A281" t="s">
        <v>352</v>
      </c>
      <c r="B281" t="s">
        <v>432</v>
      </c>
      <c r="C281" t="s">
        <v>207</v>
      </c>
      <c r="D281" t="s">
        <v>369</v>
      </c>
      <c r="E281" t="s">
        <v>301</v>
      </c>
      <c r="F281" t="s">
        <v>1199</v>
      </c>
      <c r="G281" t="s">
        <v>1200</v>
      </c>
    </row>
    <row r="282" spans="1:7" x14ac:dyDescent="0.35">
      <c r="A282" t="s">
        <v>352</v>
      </c>
      <c r="B282" t="s">
        <v>433</v>
      </c>
      <c r="C282" t="s">
        <v>207</v>
      </c>
      <c r="D282" t="s">
        <v>369</v>
      </c>
      <c r="E282" t="s">
        <v>191</v>
      </c>
      <c r="F282" t="s">
        <v>1205</v>
      </c>
      <c r="G282" t="s">
        <v>1206</v>
      </c>
    </row>
    <row r="283" spans="1:7" x14ac:dyDescent="0.35">
      <c r="A283" t="s">
        <v>352</v>
      </c>
      <c r="B283" t="s">
        <v>434</v>
      </c>
      <c r="C283" t="s">
        <v>207</v>
      </c>
      <c r="D283" t="s">
        <v>369</v>
      </c>
      <c r="E283" t="s">
        <v>191</v>
      </c>
      <c r="F283" t="s">
        <v>1216</v>
      </c>
      <c r="G283" t="s">
        <v>1204</v>
      </c>
    </row>
    <row r="284" spans="1:7" x14ac:dyDescent="0.35">
      <c r="A284" t="s">
        <v>352</v>
      </c>
      <c r="B284" t="s">
        <v>435</v>
      </c>
      <c r="C284" t="s">
        <v>145</v>
      </c>
      <c r="D284" t="s">
        <v>369</v>
      </c>
      <c r="E284" t="s">
        <v>191</v>
      </c>
      <c r="F284" t="s">
        <v>1228</v>
      </c>
      <c r="G284" t="s">
        <v>1229</v>
      </c>
    </row>
    <row r="285" spans="1:7" x14ac:dyDescent="0.35">
      <c r="A285" t="s">
        <v>352</v>
      </c>
      <c r="B285" t="s">
        <v>436</v>
      </c>
      <c r="C285" t="s">
        <v>145</v>
      </c>
      <c r="D285" t="s">
        <v>369</v>
      </c>
      <c r="E285" t="s">
        <v>191</v>
      </c>
      <c r="F285" t="s">
        <v>1219</v>
      </c>
      <c r="G285" t="s">
        <v>1220</v>
      </c>
    </row>
    <row r="286" spans="1:7" x14ac:dyDescent="0.35">
      <c r="A286" t="s">
        <v>352</v>
      </c>
      <c r="B286" t="s">
        <v>438</v>
      </c>
      <c r="C286" t="s">
        <v>439</v>
      </c>
      <c r="D286" t="s">
        <v>369</v>
      </c>
      <c r="E286" t="s">
        <v>191</v>
      </c>
      <c r="F286" t="s">
        <v>1217</v>
      </c>
      <c r="G286" t="s">
        <v>1218</v>
      </c>
    </row>
    <row r="287" spans="1:7" x14ac:dyDescent="0.35">
      <c r="A287" t="s">
        <v>352</v>
      </c>
      <c r="B287" t="s">
        <v>440</v>
      </c>
      <c r="C287" t="s">
        <v>239</v>
      </c>
      <c r="D287" t="s">
        <v>369</v>
      </c>
      <c r="E287" t="s">
        <v>191</v>
      </c>
      <c r="F287" t="s">
        <v>1217</v>
      </c>
      <c r="G287" t="s">
        <v>1218</v>
      </c>
    </row>
    <row r="288" spans="1:7" x14ac:dyDescent="0.35">
      <c r="A288" t="s">
        <v>352</v>
      </c>
      <c r="B288" t="s">
        <v>441</v>
      </c>
      <c r="C288" t="s">
        <v>145</v>
      </c>
      <c r="D288" t="s">
        <v>369</v>
      </c>
      <c r="E288" t="s">
        <v>191</v>
      </c>
      <c r="F288" t="s">
        <v>1210</v>
      </c>
      <c r="G288" t="s">
        <v>1211</v>
      </c>
    </row>
    <row r="289" spans="1:7" x14ac:dyDescent="0.35">
      <c r="A289" t="s">
        <v>352</v>
      </c>
      <c r="B289" t="s">
        <v>442</v>
      </c>
      <c r="C289" t="s">
        <v>145</v>
      </c>
      <c r="D289" t="s">
        <v>369</v>
      </c>
      <c r="E289" t="s">
        <v>196</v>
      </c>
      <c r="F289" t="s">
        <v>1214</v>
      </c>
      <c r="G289" t="s">
        <v>1215</v>
      </c>
    </row>
    <row r="290" spans="1:7" x14ac:dyDescent="0.35">
      <c r="A290" t="s">
        <v>352</v>
      </c>
      <c r="B290" t="s">
        <v>443</v>
      </c>
      <c r="C290" t="s">
        <v>207</v>
      </c>
      <c r="D290" t="s">
        <v>369</v>
      </c>
      <c r="E290" t="s">
        <v>196</v>
      </c>
      <c r="F290" t="s">
        <v>1199</v>
      </c>
      <c r="G290" t="s">
        <v>1200</v>
      </c>
    </row>
    <row r="291" spans="1:7" x14ac:dyDescent="0.35">
      <c r="A291" t="s">
        <v>352</v>
      </c>
      <c r="B291" t="s">
        <v>444</v>
      </c>
      <c r="C291" t="s">
        <v>336</v>
      </c>
      <c r="D291" t="s">
        <v>369</v>
      </c>
      <c r="E291" t="s">
        <v>196</v>
      </c>
    </row>
    <row r="292" spans="1:7" x14ac:dyDescent="0.35">
      <c r="A292" t="s">
        <v>352</v>
      </c>
      <c r="B292" t="s">
        <v>445</v>
      </c>
      <c r="C292" t="s">
        <v>212</v>
      </c>
      <c r="D292" t="s">
        <v>369</v>
      </c>
      <c r="E292" t="s">
        <v>196</v>
      </c>
      <c r="F292" t="s">
        <v>1201</v>
      </c>
      <c r="G292" t="s">
        <v>1202</v>
      </c>
    </row>
    <row r="293" spans="1:7" x14ac:dyDescent="0.35">
      <c r="A293" t="s">
        <v>352</v>
      </c>
      <c r="B293" t="s">
        <v>1230</v>
      </c>
      <c r="C293" t="s">
        <v>207</v>
      </c>
      <c r="D293" t="s">
        <v>369</v>
      </c>
      <c r="E293" t="s">
        <v>196</v>
      </c>
      <c r="F293" t="s">
        <v>1199</v>
      </c>
      <c r="G293" t="s">
        <v>1200</v>
      </c>
    </row>
    <row r="294" spans="1:7" x14ac:dyDescent="0.35">
      <c r="A294" t="s">
        <v>352</v>
      </c>
      <c r="B294" t="s">
        <v>1231</v>
      </c>
      <c r="C294" t="s">
        <v>207</v>
      </c>
      <c r="D294" t="s">
        <v>369</v>
      </c>
      <c r="E294" t="s">
        <v>196</v>
      </c>
      <c r="F294" t="s">
        <v>1216</v>
      </c>
      <c r="G294" t="s">
        <v>1204</v>
      </c>
    </row>
    <row r="295" spans="1:7" x14ac:dyDescent="0.35">
      <c r="A295" t="s">
        <v>352</v>
      </c>
      <c r="B295" t="s">
        <v>1232</v>
      </c>
      <c r="C295" t="s">
        <v>207</v>
      </c>
      <c r="D295" t="s">
        <v>369</v>
      </c>
      <c r="E295" t="s">
        <v>1117</v>
      </c>
      <c r="F295" t="s">
        <v>1199</v>
      </c>
      <c r="G295" t="s">
        <v>1200</v>
      </c>
    </row>
    <row r="296" spans="1:7" x14ac:dyDescent="0.35">
      <c r="A296" t="s">
        <v>352</v>
      </c>
      <c r="B296" t="s">
        <v>1233</v>
      </c>
      <c r="C296" t="s">
        <v>145</v>
      </c>
      <c r="D296" t="s">
        <v>369</v>
      </c>
      <c r="E296" t="s">
        <v>1117</v>
      </c>
      <c r="F296" t="s">
        <v>1214</v>
      </c>
      <c r="G296" t="s">
        <v>1221</v>
      </c>
    </row>
    <row r="297" spans="1:7" x14ac:dyDescent="0.35">
      <c r="A297" t="s">
        <v>352</v>
      </c>
      <c r="B297" t="s">
        <v>1234</v>
      </c>
      <c r="C297" t="s">
        <v>141</v>
      </c>
      <c r="D297" t="s">
        <v>369</v>
      </c>
      <c r="E297" t="s">
        <v>1117</v>
      </c>
      <c r="F297" t="s">
        <v>1235</v>
      </c>
      <c r="G297" t="s">
        <v>1236</v>
      </c>
    </row>
    <row r="298" spans="1:7" x14ac:dyDescent="0.35">
      <c r="A298" t="s">
        <v>352</v>
      </c>
      <c r="B298" t="s">
        <v>1237</v>
      </c>
      <c r="C298" t="s">
        <v>207</v>
      </c>
      <c r="D298" t="s">
        <v>369</v>
      </c>
      <c r="E298" t="s">
        <v>1117</v>
      </c>
      <c r="F298" t="s">
        <v>1238</v>
      </c>
      <c r="G298" t="s">
        <v>1239</v>
      </c>
    </row>
    <row r="299" spans="1:7" x14ac:dyDescent="0.35">
      <c r="A299" t="s">
        <v>352</v>
      </c>
      <c r="B299" t="s">
        <v>1240</v>
      </c>
      <c r="C299" t="s">
        <v>145</v>
      </c>
      <c r="D299" t="s">
        <v>369</v>
      </c>
      <c r="E299" t="s">
        <v>1164</v>
      </c>
      <c r="F299" t="s">
        <v>1235</v>
      </c>
      <c r="G299" t="s">
        <v>1236</v>
      </c>
    </row>
    <row r="300" spans="1:7" x14ac:dyDescent="0.35">
      <c r="A300" t="s">
        <v>352</v>
      </c>
      <c r="B300" t="s">
        <v>446</v>
      </c>
      <c r="C300" t="s">
        <v>239</v>
      </c>
      <c r="D300" t="s">
        <v>447</v>
      </c>
      <c r="E300" t="s">
        <v>214</v>
      </c>
      <c r="F300" t="s">
        <v>1241</v>
      </c>
      <c r="G300" t="s">
        <v>1242</v>
      </c>
    </row>
    <row r="301" spans="1:7" x14ac:dyDescent="0.35">
      <c r="A301" t="s">
        <v>352</v>
      </c>
      <c r="B301" t="s">
        <v>448</v>
      </c>
      <c r="C301" t="s">
        <v>239</v>
      </c>
      <c r="D301" t="s">
        <v>447</v>
      </c>
      <c r="E301" t="s">
        <v>149</v>
      </c>
      <c r="F301" t="s">
        <v>1241</v>
      </c>
      <c r="G301" t="s">
        <v>1242</v>
      </c>
    </row>
    <row r="302" spans="1:7" x14ac:dyDescent="0.35">
      <c r="A302" t="s">
        <v>352</v>
      </c>
      <c r="B302" t="s">
        <v>449</v>
      </c>
      <c r="C302" t="s">
        <v>239</v>
      </c>
      <c r="D302" t="s">
        <v>447</v>
      </c>
      <c r="E302" t="s">
        <v>149</v>
      </c>
      <c r="F302" t="s">
        <v>1241</v>
      </c>
      <c r="G302" t="s">
        <v>1242</v>
      </c>
    </row>
    <row r="303" spans="1:7" x14ac:dyDescent="0.35">
      <c r="A303" t="s">
        <v>352</v>
      </c>
      <c r="B303" t="s">
        <v>450</v>
      </c>
      <c r="C303" t="s">
        <v>439</v>
      </c>
      <c r="D303" t="s">
        <v>447</v>
      </c>
      <c r="E303" t="s">
        <v>149</v>
      </c>
      <c r="F303" t="s">
        <v>1241</v>
      </c>
      <c r="G303" t="s">
        <v>1242</v>
      </c>
    </row>
    <row r="304" spans="1:7" x14ac:dyDescent="0.35">
      <c r="A304" t="s">
        <v>352</v>
      </c>
      <c r="B304" t="s">
        <v>451</v>
      </c>
      <c r="C304" t="s">
        <v>239</v>
      </c>
      <c r="D304" t="s">
        <v>447</v>
      </c>
      <c r="E304" t="s">
        <v>149</v>
      </c>
      <c r="F304" t="s">
        <v>1241</v>
      </c>
      <c r="G304" t="s">
        <v>1242</v>
      </c>
    </row>
    <row r="305" spans="1:7" x14ac:dyDescent="0.35">
      <c r="A305" t="s">
        <v>352</v>
      </c>
      <c r="B305" t="s">
        <v>452</v>
      </c>
      <c r="C305" t="s">
        <v>207</v>
      </c>
      <c r="D305" t="s">
        <v>447</v>
      </c>
      <c r="E305" t="s">
        <v>153</v>
      </c>
      <c r="F305" t="s">
        <v>1243</v>
      </c>
      <c r="G305" t="s">
        <v>1244</v>
      </c>
    </row>
    <row r="306" spans="1:7" x14ac:dyDescent="0.35">
      <c r="A306" t="s">
        <v>352</v>
      </c>
      <c r="B306" t="s">
        <v>453</v>
      </c>
      <c r="C306" t="s">
        <v>239</v>
      </c>
      <c r="D306" t="s">
        <v>447</v>
      </c>
      <c r="E306" t="s">
        <v>153</v>
      </c>
      <c r="F306" t="s">
        <v>1241</v>
      </c>
      <c r="G306" t="s">
        <v>1245</v>
      </c>
    </row>
    <row r="307" spans="1:7" x14ac:dyDescent="0.35">
      <c r="A307" t="s">
        <v>352</v>
      </c>
      <c r="B307" t="s">
        <v>454</v>
      </c>
      <c r="C307" t="s">
        <v>145</v>
      </c>
      <c r="D307" t="s">
        <v>447</v>
      </c>
      <c r="E307" t="s">
        <v>153</v>
      </c>
      <c r="F307" t="s">
        <v>1246</v>
      </c>
      <c r="G307" t="s">
        <v>1247</v>
      </c>
    </row>
    <row r="308" spans="1:7" x14ac:dyDescent="0.35">
      <c r="A308" t="s">
        <v>352</v>
      </c>
      <c r="B308" t="s">
        <v>455</v>
      </c>
      <c r="C308" t="s">
        <v>217</v>
      </c>
      <c r="D308" t="s">
        <v>447</v>
      </c>
      <c r="E308" t="s">
        <v>153</v>
      </c>
      <c r="F308" t="s">
        <v>1248</v>
      </c>
      <c r="G308" t="s">
        <v>1249</v>
      </c>
    </row>
    <row r="309" spans="1:7" x14ac:dyDescent="0.35">
      <c r="A309" t="s">
        <v>352</v>
      </c>
      <c r="B309" t="s">
        <v>456</v>
      </c>
      <c r="C309" t="s">
        <v>145</v>
      </c>
      <c r="D309" t="s">
        <v>447</v>
      </c>
      <c r="E309" t="s">
        <v>156</v>
      </c>
      <c r="F309" t="s">
        <v>1241</v>
      </c>
      <c r="G309" t="s">
        <v>1242</v>
      </c>
    </row>
    <row r="310" spans="1:7" x14ac:dyDescent="0.35">
      <c r="A310" t="s">
        <v>352</v>
      </c>
      <c r="B310" t="s">
        <v>457</v>
      </c>
      <c r="C310" t="s">
        <v>207</v>
      </c>
      <c r="D310" t="s">
        <v>447</v>
      </c>
      <c r="E310" t="s">
        <v>165</v>
      </c>
      <c r="F310" t="s">
        <v>1250</v>
      </c>
      <c r="G310" t="s">
        <v>1251</v>
      </c>
    </row>
    <row r="311" spans="1:7" x14ac:dyDescent="0.35">
      <c r="A311" t="s">
        <v>352</v>
      </c>
      <c r="B311" t="s">
        <v>458</v>
      </c>
      <c r="C311" t="s">
        <v>145</v>
      </c>
      <c r="D311" t="s">
        <v>447</v>
      </c>
      <c r="E311" t="s">
        <v>356</v>
      </c>
      <c r="F311" t="s">
        <v>1241</v>
      </c>
      <c r="G311" t="s">
        <v>1252</v>
      </c>
    </row>
    <row r="312" spans="1:7" x14ac:dyDescent="0.35">
      <c r="A312" t="s">
        <v>352</v>
      </c>
      <c r="B312" t="s">
        <v>459</v>
      </c>
      <c r="C312" t="s">
        <v>207</v>
      </c>
      <c r="D312" t="s">
        <v>447</v>
      </c>
      <c r="E312" t="s">
        <v>356</v>
      </c>
      <c r="F312" t="s">
        <v>1253</v>
      </c>
      <c r="G312" t="s">
        <v>1254</v>
      </c>
    </row>
    <row r="313" spans="1:7" x14ac:dyDescent="0.35">
      <c r="A313" t="s">
        <v>352</v>
      </c>
      <c r="B313" t="s">
        <v>460</v>
      </c>
      <c r="C313" t="s">
        <v>239</v>
      </c>
      <c r="D313" t="s">
        <v>447</v>
      </c>
      <c r="E313" t="s">
        <v>167</v>
      </c>
      <c r="F313" t="s">
        <v>1241</v>
      </c>
      <c r="G313" t="s">
        <v>1242</v>
      </c>
    </row>
    <row r="314" spans="1:7" x14ac:dyDescent="0.35">
      <c r="A314" t="s">
        <v>352</v>
      </c>
      <c r="B314" t="s">
        <v>461</v>
      </c>
      <c r="C314" t="s">
        <v>239</v>
      </c>
      <c r="D314" t="s">
        <v>447</v>
      </c>
      <c r="E314" t="s">
        <v>170</v>
      </c>
      <c r="F314" t="s">
        <v>1241</v>
      </c>
      <c r="G314" t="s">
        <v>1242</v>
      </c>
    </row>
    <row r="315" spans="1:7" x14ac:dyDescent="0.35">
      <c r="A315" t="s">
        <v>352</v>
      </c>
      <c r="B315" t="s">
        <v>462</v>
      </c>
      <c r="C315" t="s">
        <v>145</v>
      </c>
      <c r="D315" t="s">
        <v>447</v>
      </c>
      <c r="E315" t="s">
        <v>170</v>
      </c>
      <c r="F315" t="s">
        <v>1241</v>
      </c>
      <c r="G315" t="s">
        <v>1242</v>
      </c>
    </row>
    <row r="316" spans="1:7" x14ac:dyDescent="0.35">
      <c r="A316" t="s">
        <v>352</v>
      </c>
      <c r="B316" t="s">
        <v>463</v>
      </c>
      <c r="C316" t="s">
        <v>145</v>
      </c>
      <c r="D316" t="s">
        <v>447</v>
      </c>
      <c r="E316" t="s">
        <v>173</v>
      </c>
      <c r="F316" t="s">
        <v>1241</v>
      </c>
      <c r="G316" t="s">
        <v>1242</v>
      </c>
    </row>
    <row r="317" spans="1:7" x14ac:dyDescent="0.35">
      <c r="A317" t="s">
        <v>352</v>
      </c>
      <c r="B317" t="s">
        <v>464</v>
      </c>
      <c r="C317" t="s">
        <v>239</v>
      </c>
      <c r="D317" t="s">
        <v>447</v>
      </c>
      <c r="E317" t="s">
        <v>173</v>
      </c>
      <c r="F317" t="s">
        <v>1241</v>
      </c>
      <c r="G317" t="s">
        <v>1242</v>
      </c>
    </row>
    <row r="318" spans="1:7" x14ac:dyDescent="0.35">
      <c r="A318" t="s">
        <v>352</v>
      </c>
      <c r="B318" t="s">
        <v>465</v>
      </c>
      <c r="C318" t="s">
        <v>239</v>
      </c>
      <c r="D318" t="s">
        <v>447</v>
      </c>
      <c r="E318" t="s">
        <v>178</v>
      </c>
      <c r="F318" t="s">
        <v>1241</v>
      </c>
      <c r="G318" t="s">
        <v>1245</v>
      </c>
    </row>
    <row r="319" spans="1:7" x14ac:dyDescent="0.35">
      <c r="A319" t="s">
        <v>352</v>
      </c>
      <c r="B319" t="s">
        <v>466</v>
      </c>
      <c r="C319" t="s">
        <v>239</v>
      </c>
      <c r="D319" t="s">
        <v>447</v>
      </c>
      <c r="E319" t="s">
        <v>183</v>
      </c>
      <c r="F319" t="s">
        <v>1241</v>
      </c>
      <c r="G319" t="s">
        <v>1242</v>
      </c>
    </row>
    <row r="320" spans="1:7" x14ac:dyDescent="0.35">
      <c r="A320" t="s">
        <v>352</v>
      </c>
      <c r="B320" t="s">
        <v>467</v>
      </c>
      <c r="C320" t="s">
        <v>217</v>
      </c>
      <c r="D320" t="s">
        <v>447</v>
      </c>
      <c r="E320" t="s">
        <v>301</v>
      </c>
      <c r="F320" t="s">
        <v>1248</v>
      </c>
      <c r="G320" t="s">
        <v>1249</v>
      </c>
    </row>
    <row r="321" spans="1:7" x14ac:dyDescent="0.35">
      <c r="A321" t="s">
        <v>352</v>
      </c>
      <c r="B321" t="s">
        <v>468</v>
      </c>
      <c r="C321" t="s">
        <v>239</v>
      </c>
      <c r="D321" t="s">
        <v>447</v>
      </c>
      <c r="E321" t="s">
        <v>301</v>
      </c>
      <c r="F321" t="s">
        <v>1241</v>
      </c>
      <c r="G321" t="s">
        <v>1245</v>
      </c>
    </row>
    <row r="322" spans="1:7" x14ac:dyDescent="0.35">
      <c r="A322" t="s">
        <v>352</v>
      </c>
      <c r="B322" t="s">
        <v>469</v>
      </c>
      <c r="C322" t="s">
        <v>239</v>
      </c>
      <c r="D322" t="s">
        <v>447</v>
      </c>
      <c r="E322" t="s">
        <v>301</v>
      </c>
      <c r="F322" t="s">
        <v>1241</v>
      </c>
      <c r="G322" t="s">
        <v>1245</v>
      </c>
    </row>
    <row r="323" spans="1:7" x14ac:dyDescent="0.35">
      <c r="A323" t="s">
        <v>352</v>
      </c>
      <c r="B323" t="s">
        <v>470</v>
      </c>
      <c r="C323" t="s">
        <v>239</v>
      </c>
      <c r="D323" t="s">
        <v>447</v>
      </c>
      <c r="E323" t="s">
        <v>301</v>
      </c>
      <c r="F323" t="s">
        <v>1241</v>
      </c>
      <c r="G323" t="s">
        <v>1242</v>
      </c>
    </row>
    <row r="324" spans="1:7" x14ac:dyDescent="0.35">
      <c r="A324" t="s">
        <v>352</v>
      </c>
      <c r="B324" t="s">
        <v>471</v>
      </c>
      <c r="C324" t="s">
        <v>239</v>
      </c>
      <c r="D324" t="s">
        <v>447</v>
      </c>
      <c r="E324" t="s">
        <v>191</v>
      </c>
      <c r="F324" t="s">
        <v>1241</v>
      </c>
      <c r="G324" t="s">
        <v>1242</v>
      </c>
    </row>
    <row r="325" spans="1:7" x14ac:dyDescent="0.35">
      <c r="A325" t="s">
        <v>352</v>
      </c>
      <c r="B325" t="s">
        <v>1255</v>
      </c>
      <c r="C325" t="s">
        <v>239</v>
      </c>
      <c r="D325" t="s">
        <v>447</v>
      </c>
      <c r="E325" t="s">
        <v>1117</v>
      </c>
      <c r="F325" t="s">
        <v>1241</v>
      </c>
      <c r="G325" t="s">
        <v>1242</v>
      </c>
    </row>
    <row r="326" spans="1:7" x14ac:dyDescent="0.35">
      <c r="A326" t="s">
        <v>352</v>
      </c>
      <c r="B326" t="s">
        <v>1256</v>
      </c>
      <c r="C326" t="s">
        <v>145</v>
      </c>
      <c r="D326" t="s">
        <v>447</v>
      </c>
      <c r="E326" t="s">
        <v>1117</v>
      </c>
      <c r="F326" t="s">
        <v>1241</v>
      </c>
      <c r="G326" t="s">
        <v>1242</v>
      </c>
    </row>
    <row r="327" spans="1:7" x14ac:dyDescent="0.35">
      <c r="A327" t="s">
        <v>352</v>
      </c>
      <c r="B327" t="s">
        <v>1257</v>
      </c>
      <c r="C327" t="s">
        <v>239</v>
      </c>
      <c r="D327" t="s">
        <v>447</v>
      </c>
      <c r="E327" t="s">
        <v>1117</v>
      </c>
      <c r="F327" t="s">
        <v>1241</v>
      </c>
      <c r="G327" t="s">
        <v>1245</v>
      </c>
    </row>
    <row r="328" spans="1:7" x14ac:dyDescent="0.35">
      <c r="A328" t="s">
        <v>352</v>
      </c>
      <c r="B328" t="s">
        <v>472</v>
      </c>
      <c r="C328" t="s">
        <v>473</v>
      </c>
      <c r="D328" t="s">
        <v>447</v>
      </c>
      <c r="E328" t="s">
        <v>183</v>
      </c>
      <c r="F328" t="s">
        <v>1241</v>
      </c>
      <c r="G328" t="s">
        <v>1242</v>
      </c>
    </row>
    <row r="329" spans="1:7" x14ac:dyDescent="0.35">
      <c r="A329" t="s">
        <v>352</v>
      </c>
      <c r="B329" t="s">
        <v>474</v>
      </c>
      <c r="C329" t="s">
        <v>207</v>
      </c>
      <c r="D329" t="s">
        <v>475</v>
      </c>
      <c r="E329" t="s">
        <v>143</v>
      </c>
      <c r="F329" t="s">
        <v>1258</v>
      </c>
      <c r="G329" t="s">
        <v>1259</v>
      </c>
    </row>
    <row r="330" spans="1:7" x14ac:dyDescent="0.35">
      <c r="A330" t="s">
        <v>352</v>
      </c>
      <c r="B330" t="s">
        <v>476</v>
      </c>
      <c r="C330" t="s">
        <v>207</v>
      </c>
      <c r="D330" t="s">
        <v>475</v>
      </c>
      <c r="E330" t="s">
        <v>143</v>
      </c>
      <c r="F330" t="s">
        <v>1258</v>
      </c>
      <c r="G330" t="s">
        <v>1259</v>
      </c>
    </row>
    <row r="331" spans="1:7" x14ac:dyDescent="0.35">
      <c r="A331" t="s">
        <v>352</v>
      </c>
      <c r="B331" t="s">
        <v>477</v>
      </c>
      <c r="C331" t="s">
        <v>207</v>
      </c>
      <c r="D331" t="s">
        <v>475</v>
      </c>
      <c r="E331" t="s">
        <v>143</v>
      </c>
      <c r="F331" t="s">
        <v>1258</v>
      </c>
      <c r="G331" t="s">
        <v>1259</v>
      </c>
    </row>
    <row r="332" spans="1:7" x14ac:dyDescent="0.35">
      <c r="A332" t="s">
        <v>352</v>
      </c>
      <c r="B332" t="s">
        <v>478</v>
      </c>
      <c r="C332" t="s">
        <v>207</v>
      </c>
      <c r="D332" t="s">
        <v>475</v>
      </c>
      <c r="E332" t="s">
        <v>153</v>
      </c>
      <c r="F332" t="s">
        <v>1258</v>
      </c>
      <c r="G332" t="s">
        <v>1259</v>
      </c>
    </row>
    <row r="333" spans="1:7" x14ac:dyDescent="0.35">
      <c r="A333" t="s">
        <v>352</v>
      </c>
      <c r="B333" t="s">
        <v>479</v>
      </c>
      <c r="C333" t="s">
        <v>207</v>
      </c>
      <c r="D333" t="s">
        <v>475</v>
      </c>
      <c r="E333" t="s">
        <v>162</v>
      </c>
      <c r="F333" t="s">
        <v>1258</v>
      </c>
      <c r="G333" t="s">
        <v>1259</v>
      </c>
    </row>
    <row r="334" spans="1:7" x14ac:dyDescent="0.35">
      <c r="A334" t="s">
        <v>352</v>
      </c>
      <c r="B334" t="s">
        <v>480</v>
      </c>
      <c r="C334" t="s">
        <v>207</v>
      </c>
      <c r="D334" t="s">
        <v>475</v>
      </c>
      <c r="E334" t="s">
        <v>162</v>
      </c>
      <c r="F334" t="s">
        <v>1260</v>
      </c>
      <c r="G334" t="s">
        <v>1261</v>
      </c>
    </row>
    <row r="335" spans="1:7" x14ac:dyDescent="0.35">
      <c r="A335" t="s">
        <v>352</v>
      </c>
      <c r="B335" t="s">
        <v>481</v>
      </c>
      <c r="C335" t="s">
        <v>207</v>
      </c>
      <c r="D335" t="s">
        <v>475</v>
      </c>
      <c r="E335" t="s">
        <v>165</v>
      </c>
      <c r="F335" t="s">
        <v>1260</v>
      </c>
      <c r="G335" t="s">
        <v>1261</v>
      </c>
    </row>
    <row r="336" spans="1:7" x14ac:dyDescent="0.35">
      <c r="A336" t="s">
        <v>352</v>
      </c>
      <c r="B336" t="s">
        <v>482</v>
      </c>
      <c r="C336" t="s">
        <v>141</v>
      </c>
      <c r="D336" t="s">
        <v>475</v>
      </c>
      <c r="E336" t="s">
        <v>167</v>
      </c>
      <c r="F336" t="s">
        <v>1262</v>
      </c>
      <c r="G336" t="s">
        <v>1263</v>
      </c>
    </row>
    <row r="337" spans="1:7" x14ac:dyDescent="0.35">
      <c r="A337" t="s">
        <v>352</v>
      </c>
      <c r="B337" t="s">
        <v>483</v>
      </c>
      <c r="C337" t="s">
        <v>207</v>
      </c>
      <c r="D337" t="s">
        <v>475</v>
      </c>
      <c r="E337" t="s">
        <v>178</v>
      </c>
      <c r="F337" t="s">
        <v>1260</v>
      </c>
      <c r="G337" t="s">
        <v>1261</v>
      </c>
    </row>
    <row r="338" spans="1:7" x14ac:dyDescent="0.35">
      <c r="A338" t="s">
        <v>352</v>
      </c>
      <c r="B338" t="s">
        <v>484</v>
      </c>
      <c r="C338" t="s">
        <v>207</v>
      </c>
      <c r="D338" t="s">
        <v>475</v>
      </c>
      <c r="E338" t="s">
        <v>189</v>
      </c>
      <c r="F338" t="s">
        <v>1258</v>
      </c>
      <c r="G338" t="s">
        <v>1259</v>
      </c>
    </row>
    <row r="339" spans="1:7" x14ac:dyDescent="0.35">
      <c r="A339" t="s">
        <v>352</v>
      </c>
      <c r="B339" t="s">
        <v>485</v>
      </c>
      <c r="C339" t="s">
        <v>207</v>
      </c>
      <c r="D339" t="s">
        <v>475</v>
      </c>
      <c r="E339" t="s">
        <v>191</v>
      </c>
      <c r="F339" t="s">
        <v>1258</v>
      </c>
      <c r="G339" t="s">
        <v>1259</v>
      </c>
    </row>
    <row r="340" spans="1:7" x14ac:dyDescent="0.35">
      <c r="A340" t="s">
        <v>352</v>
      </c>
      <c r="B340" t="s">
        <v>486</v>
      </c>
      <c r="C340" t="s">
        <v>141</v>
      </c>
      <c r="D340" t="s">
        <v>475</v>
      </c>
      <c r="E340" t="s">
        <v>191</v>
      </c>
      <c r="F340" t="s">
        <v>1260</v>
      </c>
      <c r="G340" t="s">
        <v>1261</v>
      </c>
    </row>
    <row r="341" spans="1:7" x14ac:dyDescent="0.35">
      <c r="A341" t="s">
        <v>352</v>
      </c>
      <c r="B341" t="s">
        <v>487</v>
      </c>
      <c r="C341" t="s">
        <v>207</v>
      </c>
      <c r="D341" t="s">
        <v>475</v>
      </c>
      <c r="E341" t="s">
        <v>191</v>
      </c>
      <c r="F341" t="s">
        <v>1258</v>
      </c>
      <c r="G341" t="s">
        <v>1259</v>
      </c>
    </row>
    <row r="342" spans="1:7" x14ac:dyDescent="0.35">
      <c r="A342" t="s">
        <v>352</v>
      </c>
      <c r="B342" t="s">
        <v>488</v>
      </c>
      <c r="C342" t="s">
        <v>439</v>
      </c>
      <c r="D342" t="s">
        <v>489</v>
      </c>
      <c r="E342" t="s">
        <v>149</v>
      </c>
      <c r="F342" t="s">
        <v>1264</v>
      </c>
      <c r="G342" t="s">
        <v>1265</v>
      </c>
    </row>
    <row r="343" spans="1:7" x14ac:dyDescent="0.35">
      <c r="A343" t="s">
        <v>352</v>
      </c>
      <c r="B343" t="s">
        <v>490</v>
      </c>
      <c r="C343" t="s">
        <v>207</v>
      </c>
      <c r="D343" t="s">
        <v>489</v>
      </c>
      <c r="E343" t="s">
        <v>149</v>
      </c>
      <c r="F343" t="s">
        <v>1264</v>
      </c>
      <c r="G343" t="s">
        <v>1265</v>
      </c>
    </row>
    <row r="344" spans="1:7" x14ac:dyDescent="0.35">
      <c r="A344" t="s">
        <v>352</v>
      </c>
      <c r="B344" t="s">
        <v>491</v>
      </c>
      <c r="C344" t="s">
        <v>207</v>
      </c>
      <c r="D344" t="s">
        <v>489</v>
      </c>
      <c r="E344" t="s">
        <v>149</v>
      </c>
      <c r="F344" t="s">
        <v>1264</v>
      </c>
      <c r="G344" t="s">
        <v>1265</v>
      </c>
    </row>
    <row r="345" spans="1:7" x14ac:dyDescent="0.35">
      <c r="A345" t="s">
        <v>352</v>
      </c>
      <c r="B345" t="s">
        <v>492</v>
      </c>
      <c r="C345" t="s">
        <v>207</v>
      </c>
      <c r="D345" t="s">
        <v>489</v>
      </c>
      <c r="E345" t="s">
        <v>153</v>
      </c>
      <c r="F345" t="s">
        <v>1264</v>
      </c>
      <c r="G345" t="s">
        <v>1265</v>
      </c>
    </row>
    <row r="346" spans="1:7" x14ac:dyDescent="0.35">
      <c r="A346" t="s">
        <v>352</v>
      </c>
      <c r="B346" t="s">
        <v>493</v>
      </c>
      <c r="C346" t="s">
        <v>145</v>
      </c>
      <c r="D346" t="s">
        <v>489</v>
      </c>
      <c r="E346" t="s">
        <v>167</v>
      </c>
      <c r="F346" t="s">
        <v>1264</v>
      </c>
      <c r="G346" t="s">
        <v>1265</v>
      </c>
    </row>
    <row r="347" spans="1:7" x14ac:dyDescent="0.35">
      <c r="A347" t="s">
        <v>352</v>
      </c>
      <c r="B347" t="s">
        <v>494</v>
      </c>
      <c r="C347" t="s">
        <v>207</v>
      </c>
      <c r="D347" t="s">
        <v>489</v>
      </c>
      <c r="E347" t="s">
        <v>178</v>
      </c>
      <c r="F347" t="s">
        <v>1264</v>
      </c>
      <c r="G347" t="s">
        <v>1265</v>
      </c>
    </row>
    <row r="348" spans="1:7" x14ac:dyDescent="0.35">
      <c r="A348" t="s">
        <v>352</v>
      </c>
      <c r="B348" t="s">
        <v>495</v>
      </c>
      <c r="C348" t="s">
        <v>145</v>
      </c>
      <c r="D348" t="s">
        <v>489</v>
      </c>
      <c r="E348" t="s">
        <v>178</v>
      </c>
      <c r="F348" t="s">
        <v>1264</v>
      </c>
      <c r="G348" t="s">
        <v>1265</v>
      </c>
    </row>
    <row r="349" spans="1:7" x14ac:dyDescent="0.35">
      <c r="A349" t="s">
        <v>352</v>
      </c>
      <c r="B349" t="s">
        <v>496</v>
      </c>
      <c r="C349" t="s">
        <v>145</v>
      </c>
      <c r="D349" t="s">
        <v>489</v>
      </c>
      <c r="E349" t="s">
        <v>189</v>
      </c>
      <c r="F349" t="s">
        <v>1264</v>
      </c>
      <c r="G349" t="s">
        <v>1265</v>
      </c>
    </row>
    <row r="350" spans="1:7" x14ac:dyDescent="0.35">
      <c r="A350" t="s">
        <v>352</v>
      </c>
      <c r="B350" t="s">
        <v>1266</v>
      </c>
      <c r="C350" t="s">
        <v>141</v>
      </c>
      <c r="D350" t="s">
        <v>489</v>
      </c>
      <c r="E350" t="s">
        <v>196</v>
      </c>
      <c r="F350" t="s">
        <v>1267</v>
      </c>
      <c r="G350" t="s">
        <v>1268</v>
      </c>
    </row>
    <row r="351" spans="1:7" x14ac:dyDescent="0.35">
      <c r="A351" t="s">
        <v>352</v>
      </c>
      <c r="B351" t="s">
        <v>1269</v>
      </c>
      <c r="C351" t="s">
        <v>207</v>
      </c>
      <c r="D351" t="s">
        <v>489</v>
      </c>
      <c r="E351" t="s">
        <v>1117</v>
      </c>
      <c r="F351" t="s">
        <v>1264</v>
      </c>
      <c r="G351" t="s">
        <v>1265</v>
      </c>
    </row>
    <row r="352" spans="1:7" x14ac:dyDescent="0.35">
      <c r="A352" t="s">
        <v>352</v>
      </c>
      <c r="B352" t="s">
        <v>497</v>
      </c>
      <c r="C352" t="s">
        <v>145</v>
      </c>
      <c r="D352" t="s">
        <v>498</v>
      </c>
      <c r="E352" t="s">
        <v>153</v>
      </c>
      <c r="F352" t="s">
        <v>1270</v>
      </c>
      <c r="G352" t="s">
        <v>1271</v>
      </c>
    </row>
    <row r="353" spans="1:7" x14ac:dyDescent="0.35">
      <c r="A353" t="s">
        <v>352</v>
      </c>
      <c r="B353" t="s">
        <v>499</v>
      </c>
      <c r="C353" t="s">
        <v>141</v>
      </c>
      <c r="D353" t="s">
        <v>498</v>
      </c>
      <c r="E353" t="s">
        <v>191</v>
      </c>
      <c r="F353" t="s">
        <v>1272</v>
      </c>
      <c r="G353" t="s">
        <v>1273</v>
      </c>
    </row>
    <row r="354" spans="1:7" x14ac:dyDescent="0.35">
      <c r="A354" t="s">
        <v>352</v>
      </c>
      <c r="B354" t="s">
        <v>500</v>
      </c>
      <c r="C354" t="s">
        <v>207</v>
      </c>
      <c r="D354" t="s">
        <v>498</v>
      </c>
      <c r="E354" t="s">
        <v>196</v>
      </c>
      <c r="F354" t="s">
        <v>1274</v>
      </c>
      <c r="G354" t="s">
        <v>1275</v>
      </c>
    </row>
    <row r="355" spans="1:7" x14ac:dyDescent="0.35">
      <c r="A355" t="s">
        <v>352</v>
      </c>
      <c r="B355" t="s">
        <v>501</v>
      </c>
      <c r="C355" t="s">
        <v>141</v>
      </c>
      <c r="D355" t="s">
        <v>498</v>
      </c>
      <c r="E355" t="s">
        <v>196</v>
      </c>
      <c r="F355" t="s">
        <v>1272</v>
      </c>
      <c r="G355" t="s">
        <v>1273</v>
      </c>
    </row>
    <row r="356" spans="1:7" x14ac:dyDescent="0.35">
      <c r="A356" t="s">
        <v>352</v>
      </c>
      <c r="B356" t="s">
        <v>502</v>
      </c>
      <c r="C356" t="s">
        <v>141</v>
      </c>
      <c r="D356" t="s">
        <v>498</v>
      </c>
      <c r="E356" t="s">
        <v>196</v>
      </c>
      <c r="F356" t="s">
        <v>1272</v>
      </c>
      <c r="G356" t="s">
        <v>1273</v>
      </c>
    </row>
    <row r="357" spans="1:7" x14ac:dyDescent="0.35">
      <c r="A357" t="s">
        <v>352</v>
      </c>
      <c r="B357" t="s">
        <v>1276</v>
      </c>
      <c r="C357" t="s">
        <v>141</v>
      </c>
      <c r="D357" t="s">
        <v>498</v>
      </c>
      <c r="E357" t="s">
        <v>196</v>
      </c>
      <c r="F357" t="s">
        <v>1272</v>
      </c>
      <c r="G357" t="s">
        <v>1273</v>
      </c>
    </row>
    <row r="358" spans="1:7" x14ac:dyDescent="0.35">
      <c r="A358" t="s">
        <v>352</v>
      </c>
      <c r="B358" t="s">
        <v>1277</v>
      </c>
      <c r="C358" t="s">
        <v>141</v>
      </c>
      <c r="D358" t="s">
        <v>498</v>
      </c>
      <c r="E358" t="s">
        <v>1117</v>
      </c>
      <c r="F358" t="s">
        <v>1272</v>
      </c>
      <c r="G358" t="s">
        <v>1273</v>
      </c>
    </row>
    <row r="359" spans="1:7" x14ac:dyDescent="0.35">
      <c r="A359" t="s">
        <v>352</v>
      </c>
      <c r="B359" t="s">
        <v>1278</v>
      </c>
      <c r="C359" t="s">
        <v>141</v>
      </c>
      <c r="D359" t="s">
        <v>498</v>
      </c>
      <c r="E359" t="s">
        <v>1117</v>
      </c>
      <c r="F359" t="s">
        <v>1279</v>
      </c>
      <c r="G359" t="s">
        <v>1280</v>
      </c>
    </row>
    <row r="360" spans="1:7" x14ac:dyDescent="0.35">
      <c r="A360" t="s">
        <v>503</v>
      </c>
      <c r="B360" t="s">
        <v>504</v>
      </c>
      <c r="C360" t="s">
        <v>207</v>
      </c>
      <c r="D360" t="s">
        <v>505</v>
      </c>
      <c r="E360" t="s">
        <v>214</v>
      </c>
      <c r="F360" t="s">
        <v>1281</v>
      </c>
      <c r="G360" t="s">
        <v>1282</v>
      </c>
    </row>
    <row r="361" spans="1:7" x14ac:dyDescent="0.35">
      <c r="A361" t="s">
        <v>503</v>
      </c>
      <c r="B361" t="s">
        <v>506</v>
      </c>
      <c r="C361" t="s">
        <v>145</v>
      </c>
      <c r="D361" t="s">
        <v>505</v>
      </c>
      <c r="E361" t="s">
        <v>143</v>
      </c>
      <c r="F361" t="s">
        <v>1283</v>
      </c>
      <c r="G361" t="s">
        <v>1284</v>
      </c>
    </row>
    <row r="362" spans="1:7" x14ac:dyDescent="0.35">
      <c r="A362" t="s">
        <v>503</v>
      </c>
      <c r="B362" t="s">
        <v>507</v>
      </c>
      <c r="C362" t="s">
        <v>207</v>
      </c>
      <c r="D362" t="s">
        <v>505</v>
      </c>
      <c r="E362" t="s">
        <v>143</v>
      </c>
      <c r="F362" t="s">
        <v>1285</v>
      </c>
      <c r="G362" t="s">
        <v>1284</v>
      </c>
    </row>
    <row r="363" spans="1:7" x14ac:dyDescent="0.35">
      <c r="A363" t="s">
        <v>503</v>
      </c>
      <c r="B363" t="s">
        <v>508</v>
      </c>
      <c r="C363" t="s">
        <v>207</v>
      </c>
      <c r="D363" t="s">
        <v>505</v>
      </c>
      <c r="E363" t="s">
        <v>143</v>
      </c>
      <c r="F363" t="s">
        <v>1281</v>
      </c>
      <c r="G363" t="s">
        <v>1282</v>
      </c>
    </row>
    <row r="364" spans="1:7" x14ac:dyDescent="0.35">
      <c r="A364" t="s">
        <v>503</v>
      </c>
      <c r="B364" t="s">
        <v>509</v>
      </c>
      <c r="C364" t="s">
        <v>145</v>
      </c>
      <c r="D364" t="s">
        <v>505</v>
      </c>
      <c r="E364" t="s">
        <v>153</v>
      </c>
      <c r="F364" t="s">
        <v>1283</v>
      </c>
      <c r="G364" t="s">
        <v>1284</v>
      </c>
    </row>
    <row r="365" spans="1:7" x14ac:dyDescent="0.35">
      <c r="A365" t="s">
        <v>503</v>
      </c>
      <c r="B365" t="s">
        <v>510</v>
      </c>
      <c r="C365" t="s">
        <v>145</v>
      </c>
      <c r="D365" t="s">
        <v>505</v>
      </c>
      <c r="E365" t="s">
        <v>170</v>
      </c>
      <c r="F365" t="s">
        <v>1283</v>
      </c>
      <c r="G365" t="s">
        <v>1284</v>
      </c>
    </row>
    <row r="366" spans="1:7" x14ac:dyDescent="0.35">
      <c r="A366" t="s">
        <v>503</v>
      </c>
      <c r="B366" t="s">
        <v>511</v>
      </c>
      <c r="C366" t="s">
        <v>207</v>
      </c>
      <c r="D366" t="s">
        <v>505</v>
      </c>
      <c r="E366" t="s">
        <v>183</v>
      </c>
      <c r="F366" t="s">
        <v>1281</v>
      </c>
      <c r="G366" t="s">
        <v>1282</v>
      </c>
    </row>
    <row r="367" spans="1:7" x14ac:dyDescent="0.35">
      <c r="A367" t="s">
        <v>503</v>
      </c>
      <c r="B367" t="s">
        <v>1286</v>
      </c>
      <c r="C367" t="s">
        <v>207</v>
      </c>
      <c r="D367" t="s">
        <v>505</v>
      </c>
      <c r="E367" t="s">
        <v>1117</v>
      </c>
      <c r="F367" t="s">
        <v>1281</v>
      </c>
      <c r="G367" t="s">
        <v>1282</v>
      </c>
    </row>
    <row r="368" spans="1:7" x14ac:dyDescent="0.35">
      <c r="A368" t="s">
        <v>503</v>
      </c>
      <c r="B368" t="s">
        <v>1287</v>
      </c>
      <c r="C368" t="s">
        <v>145</v>
      </c>
      <c r="D368" t="s">
        <v>505</v>
      </c>
      <c r="E368" t="s">
        <v>1117</v>
      </c>
      <c r="F368" t="s">
        <v>1283</v>
      </c>
      <c r="G368" t="s">
        <v>1284</v>
      </c>
    </row>
    <row r="369" spans="1:7" x14ac:dyDescent="0.35">
      <c r="A369" t="s">
        <v>503</v>
      </c>
      <c r="B369" t="s">
        <v>1288</v>
      </c>
      <c r="C369" t="s">
        <v>207</v>
      </c>
      <c r="D369" t="s">
        <v>505</v>
      </c>
      <c r="E369" t="s">
        <v>1117</v>
      </c>
      <c r="F369" t="s">
        <v>1281</v>
      </c>
      <c r="G369" t="s">
        <v>1282</v>
      </c>
    </row>
    <row r="370" spans="1:7" x14ac:dyDescent="0.35">
      <c r="A370" t="s">
        <v>503</v>
      </c>
      <c r="B370" t="s">
        <v>512</v>
      </c>
      <c r="C370" t="s">
        <v>145</v>
      </c>
      <c r="D370" t="s">
        <v>513</v>
      </c>
      <c r="E370" t="s">
        <v>214</v>
      </c>
      <c r="F370" t="s">
        <v>1289</v>
      </c>
      <c r="G370" t="s">
        <v>1290</v>
      </c>
    </row>
    <row r="371" spans="1:7" x14ac:dyDescent="0.35">
      <c r="A371" t="s">
        <v>503</v>
      </c>
      <c r="B371" t="s">
        <v>514</v>
      </c>
      <c r="C371" t="s">
        <v>212</v>
      </c>
      <c r="D371" t="s">
        <v>513</v>
      </c>
      <c r="E371" t="s">
        <v>214</v>
      </c>
      <c r="F371" t="s">
        <v>1291</v>
      </c>
      <c r="G371" t="s">
        <v>1292</v>
      </c>
    </row>
    <row r="372" spans="1:7" x14ac:dyDescent="0.35">
      <c r="A372" t="s">
        <v>503</v>
      </c>
      <c r="B372" t="s">
        <v>515</v>
      </c>
      <c r="C372" t="s">
        <v>141</v>
      </c>
      <c r="D372" t="s">
        <v>513</v>
      </c>
      <c r="E372" t="s">
        <v>214</v>
      </c>
      <c r="F372" t="s">
        <v>1293</v>
      </c>
      <c r="G372" t="s">
        <v>1294</v>
      </c>
    </row>
    <row r="373" spans="1:7" x14ac:dyDescent="0.35">
      <c r="A373" t="s">
        <v>503</v>
      </c>
      <c r="B373" t="s">
        <v>516</v>
      </c>
      <c r="C373" t="s">
        <v>207</v>
      </c>
      <c r="D373" t="s">
        <v>513</v>
      </c>
      <c r="E373" t="s">
        <v>214</v>
      </c>
      <c r="F373" t="s">
        <v>1289</v>
      </c>
      <c r="G373" t="s">
        <v>1290</v>
      </c>
    </row>
    <row r="374" spans="1:7" x14ac:dyDescent="0.35">
      <c r="A374" t="s">
        <v>503</v>
      </c>
      <c r="B374" t="s">
        <v>517</v>
      </c>
      <c r="C374" t="s">
        <v>336</v>
      </c>
      <c r="D374" t="s">
        <v>513</v>
      </c>
      <c r="E374" t="s">
        <v>214</v>
      </c>
    </row>
    <row r="375" spans="1:7" x14ac:dyDescent="0.35">
      <c r="A375" t="s">
        <v>503</v>
      </c>
      <c r="B375" t="s">
        <v>518</v>
      </c>
      <c r="C375" t="s">
        <v>207</v>
      </c>
      <c r="D375" t="s">
        <v>513</v>
      </c>
      <c r="E375" t="s">
        <v>214</v>
      </c>
      <c r="F375" t="s">
        <v>1295</v>
      </c>
      <c r="G375" t="s">
        <v>1292</v>
      </c>
    </row>
    <row r="376" spans="1:7" x14ac:dyDescent="0.35">
      <c r="A376" t="s">
        <v>503</v>
      </c>
      <c r="B376" t="s">
        <v>519</v>
      </c>
      <c r="C376" t="s">
        <v>145</v>
      </c>
      <c r="D376" t="s">
        <v>513</v>
      </c>
      <c r="E376" t="s">
        <v>214</v>
      </c>
      <c r="F376" t="s">
        <v>1296</v>
      </c>
      <c r="G376" t="s">
        <v>1297</v>
      </c>
    </row>
    <row r="377" spans="1:7" x14ac:dyDescent="0.35">
      <c r="A377" t="s">
        <v>503</v>
      </c>
      <c r="B377" t="s">
        <v>520</v>
      </c>
      <c r="C377" t="s">
        <v>207</v>
      </c>
      <c r="D377" t="s">
        <v>513</v>
      </c>
      <c r="E377" t="s">
        <v>143</v>
      </c>
      <c r="F377" t="s">
        <v>1298</v>
      </c>
      <c r="G377" t="s">
        <v>1299</v>
      </c>
    </row>
    <row r="378" spans="1:7" x14ac:dyDescent="0.35">
      <c r="A378" t="s">
        <v>503</v>
      </c>
      <c r="B378" t="s">
        <v>521</v>
      </c>
      <c r="C378" t="s">
        <v>145</v>
      </c>
      <c r="D378" t="s">
        <v>513</v>
      </c>
      <c r="E378" t="s">
        <v>143</v>
      </c>
      <c r="F378" t="s">
        <v>1289</v>
      </c>
      <c r="G378" t="s">
        <v>1290</v>
      </c>
    </row>
    <row r="379" spans="1:7" x14ac:dyDescent="0.35">
      <c r="A379" t="s">
        <v>503</v>
      </c>
      <c r="B379" t="s">
        <v>522</v>
      </c>
      <c r="C379" t="s">
        <v>145</v>
      </c>
      <c r="D379" t="s">
        <v>513</v>
      </c>
      <c r="E379" t="s">
        <v>143</v>
      </c>
      <c r="F379" t="s">
        <v>1289</v>
      </c>
      <c r="G379" t="s">
        <v>1290</v>
      </c>
    </row>
    <row r="380" spans="1:7" x14ac:dyDescent="0.35">
      <c r="A380" t="s">
        <v>503</v>
      </c>
      <c r="B380" t="s">
        <v>523</v>
      </c>
      <c r="C380" t="s">
        <v>207</v>
      </c>
      <c r="D380" t="s">
        <v>513</v>
      </c>
      <c r="E380" t="s">
        <v>143</v>
      </c>
      <c r="F380" t="s">
        <v>1289</v>
      </c>
      <c r="G380" t="s">
        <v>1290</v>
      </c>
    </row>
    <row r="381" spans="1:7" x14ac:dyDescent="0.35">
      <c r="A381" t="s">
        <v>503</v>
      </c>
      <c r="B381" t="s">
        <v>524</v>
      </c>
      <c r="C381" t="s">
        <v>141</v>
      </c>
      <c r="D381" t="s">
        <v>513</v>
      </c>
      <c r="E381" t="s">
        <v>143</v>
      </c>
      <c r="F381" t="s">
        <v>1300</v>
      </c>
      <c r="G381" t="s">
        <v>1301</v>
      </c>
    </row>
    <row r="382" spans="1:7" x14ac:dyDescent="0.35">
      <c r="A382" t="s">
        <v>503</v>
      </c>
      <c r="B382" t="s">
        <v>525</v>
      </c>
      <c r="C382" t="s">
        <v>145</v>
      </c>
      <c r="D382" t="s">
        <v>513</v>
      </c>
      <c r="E382" t="s">
        <v>143</v>
      </c>
      <c r="F382" t="s">
        <v>1296</v>
      </c>
      <c r="G382" t="s">
        <v>1297</v>
      </c>
    </row>
    <row r="383" spans="1:7" x14ac:dyDescent="0.35">
      <c r="A383" t="s">
        <v>503</v>
      </c>
      <c r="B383" t="s">
        <v>526</v>
      </c>
      <c r="C383" t="s">
        <v>145</v>
      </c>
      <c r="D383" t="s">
        <v>513</v>
      </c>
      <c r="E383" t="s">
        <v>143</v>
      </c>
      <c r="F383" t="s">
        <v>1289</v>
      </c>
      <c r="G383" t="s">
        <v>1302</v>
      </c>
    </row>
    <row r="384" spans="1:7" x14ac:dyDescent="0.35">
      <c r="A384" t="s">
        <v>503</v>
      </c>
      <c r="B384" t="s">
        <v>527</v>
      </c>
      <c r="C384" t="s">
        <v>145</v>
      </c>
      <c r="D384" t="s">
        <v>513</v>
      </c>
      <c r="E384" t="s">
        <v>143</v>
      </c>
      <c r="F384" t="s">
        <v>1303</v>
      </c>
      <c r="G384" t="s">
        <v>1304</v>
      </c>
    </row>
    <row r="385" spans="1:7" x14ac:dyDescent="0.35">
      <c r="A385" t="s">
        <v>503</v>
      </c>
      <c r="B385" t="s">
        <v>528</v>
      </c>
      <c r="C385" t="s">
        <v>141</v>
      </c>
      <c r="D385" t="s">
        <v>513</v>
      </c>
      <c r="E385" t="s">
        <v>149</v>
      </c>
      <c r="F385" t="s">
        <v>1305</v>
      </c>
      <c r="G385" t="s">
        <v>1306</v>
      </c>
    </row>
    <row r="386" spans="1:7" x14ac:dyDescent="0.35">
      <c r="A386" t="s">
        <v>503</v>
      </c>
      <c r="B386" t="s">
        <v>529</v>
      </c>
      <c r="C386" t="s">
        <v>145</v>
      </c>
      <c r="D386" t="s">
        <v>513</v>
      </c>
      <c r="E386" t="s">
        <v>149</v>
      </c>
      <c r="F386" t="s">
        <v>1289</v>
      </c>
      <c r="G386" t="s">
        <v>1302</v>
      </c>
    </row>
    <row r="387" spans="1:7" x14ac:dyDescent="0.35">
      <c r="A387" t="s">
        <v>503</v>
      </c>
      <c r="B387" t="s">
        <v>530</v>
      </c>
      <c r="C387" t="s">
        <v>145</v>
      </c>
      <c r="D387" t="s">
        <v>513</v>
      </c>
      <c r="E387" t="s">
        <v>149</v>
      </c>
      <c r="F387" t="s">
        <v>1289</v>
      </c>
      <c r="G387" t="s">
        <v>1290</v>
      </c>
    </row>
    <row r="388" spans="1:7" x14ac:dyDescent="0.35">
      <c r="A388" t="s">
        <v>503</v>
      </c>
      <c r="B388" t="s">
        <v>531</v>
      </c>
      <c r="C388" t="s">
        <v>145</v>
      </c>
      <c r="D388" t="s">
        <v>513</v>
      </c>
      <c r="E388" t="s">
        <v>149</v>
      </c>
      <c r="F388" t="s">
        <v>1303</v>
      </c>
      <c r="G388" t="s">
        <v>1307</v>
      </c>
    </row>
    <row r="389" spans="1:7" x14ac:dyDescent="0.35">
      <c r="A389" t="s">
        <v>503</v>
      </c>
      <c r="B389" t="s">
        <v>532</v>
      </c>
      <c r="C389" t="s">
        <v>141</v>
      </c>
      <c r="D389" t="s">
        <v>513</v>
      </c>
      <c r="E389" t="s">
        <v>153</v>
      </c>
      <c r="F389" t="s">
        <v>1289</v>
      </c>
      <c r="G389" t="s">
        <v>1308</v>
      </c>
    </row>
    <row r="390" spans="1:7" x14ac:dyDescent="0.35">
      <c r="A390" t="s">
        <v>503</v>
      </c>
      <c r="B390" t="s">
        <v>533</v>
      </c>
      <c r="C390" t="s">
        <v>207</v>
      </c>
      <c r="D390" t="s">
        <v>513</v>
      </c>
      <c r="E390" t="s">
        <v>153</v>
      </c>
      <c r="F390" t="s">
        <v>1295</v>
      </c>
      <c r="G390" t="s">
        <v>1292</v>
      </c>
    </row>
    <row r="391" spans="1:7" x14ac:dyDescent="0.35">
      <c r="A391" t="s">
        <v>503</v>
      </c>
      <c r="B391" t="s">
        <v>534</v>
      </c>
      <c r="C391" t="s">
        <v>145</v>
      </c>
      <c r="D391" t="s">
        <v>513</v>
      </c>
      <c r="E391" t="s">
        <v>153</v>
      </c>
      <c r="F391" t="s">
        <v>1289</v>
      </c>
      <c r="G391" t="s">
        <v>1308</v>
      </c>
    </row>
    <row r="392" spans="1:7" x14ac:dyDescent="0.35">
      <c r="A392" t="s">
        <v>503</v>
      </c>
      <c r="B392" t="s">
        <v>535</v>
      </c>
      <c r="C392" t="s">
        <v>141</v>
      </c>
      <c r="D392" t="s">
        <v>513</v>
      </c>
      <c r="E392" t="s">
        <v>153</v>
      </c>
      <c r="F392" t="s">
        <v>1300</v>
      </c>
      <c r="G392" t="s">
        <v>1301</v>
      </c>
    </row>
    <row r="393" spans="1:7" x14ac:dyDescent="0.35">
      <c r="A393" t="s">
        <v>503</v>
      </c>
      <c r="B393" t="s">
        <v>536</v>
      </c>
      <c r="C393" t="s">
        <v>233</v>
      </c>
      <c r="D393" t="s">
        <v>513</v>
      </c>
      <c r="E393" t="s">
        <v>153</v>
      </c>
      <c r="F393" t="s">
        <v>1309</v>
      </c>
      <c r="G393" t="s">
        <v>1310</v>
      </c>
    </row>
    <row r="394" spans="1:7" x14ac:dyDescent="0.35">
      <c r="A394" t="s">
        <v>503</v>
      </c>
      <c r="B394" t="s">
        <v>537</v>
      </c>
      <c r="C394" t="s">
        <v>207</v>
      </c>
      <c r="D394" t="s">
        <v>513</v>
      </c>
      <c r="E394" t="s">
        <v>153</v>
      </c>
      <c r="F394" t="s">
        <v>1295</v>
      </c>
      <c r="G394" t="s">
        <v>1292</v>
      </c>
    </row>
    <row r="395" spans="1:7" x14ac:dyDescent="0.35">
      <c r="A395" t="s">
        <v>503</v>
      </c>
      <c r="B395" t="s">
        <v>538</v>
      </c>
      <c r="C395" t="s">
        <v>207</v>
      </c>
      <c r="D395" t="s">
        <v>513</v>
      </c>
      <c r="E395" t="s">
        <v>156</v>
      </c>
      <c r="F395" t="s">
        <v>1295</v>
      </c>
      <c r="G395" t="s">
        <v>1292</v>
      </c>
    </row>
    <row r="396" spans="1:7" x14ac:dyDescent="0.35">
      <c r="A396" t="s">
        <v>503</v>
      </c>
      <c r="B396" t="s">
        <v>539</v>
      </c>
      <c r="C396" t="s">
        <v>141</v>
      </c>
      <c r="D396" t="s">
        <v>513</v>
      </c>
      <c r="E396" t="s">
        <v>156</v>
      </c>
      <c r="F396" t="s">
        <v>1311</v>
      </c>
      <c r="G396" t="s">
        <v>1312</v>
      </c>
    </row>
    <row r="397" spans="1:7" x14ac:dyDescent="0.35">
      <c r="A397" t="s">
        <v>503</v>
      </c>
      <c r="B397" t="s">
        <v>540</v>
      </c>
      <c r="C397" t="s">
        <v>145</v>
      </c>
      <c r="D397" t="s">
        <v>513</v>
      </c>
      <c r="E397" t="s">
        <v>156</v>
      </c>
      <c r="F397" t="s">
        <v>1289</v>
      </c>
      <c r="G397" t="s">
        <v>1290</v>
      </c>
    </row>
    <row r="398" spans="1:7" x14ac:dyDescent="0.35">
      <c r="A398" t="s">
        <v>503</v>
      </c>
      <c r="B398" t="s">
        <v>541</v>
      </c>
      <c r="C398" t="s">
        <v>207</v>
      </c>
      <c r="D398" t="s">
        <v>513</v>
      </c>
      <c r="E398" t="s">
        <v>156</v>
      </c>
      <c r="F398" t="s">
        <v>1313</v>
      </c>
      <c r="G398" t="s">
        <v>1310</v>
      </c>
    </row>
    <row r="399" spans="1:7" x14ac:dyDescent="0.35">
      <c r="A399" t="s">
        <v>503</v>
      </c>
      <c r="B399" t="s">
        <v>542</v>
      </c>
      <c r="C399" t="s">
        <v>145</v>
      </c>
      <c r="D399" t="s">
        <v>513</v>
      </c>
      <c r="E399" t="s">
        <v>156</v>
      </c>
      <c r="F399" t="s">
        <v>1303</v>
      </c>
      <c r="G399" t="s">
        <v>1304</v>
      </c>
    </row>
    <row r="400" spans="1:7" x14ac:dyDescent="0.35">
      <c r="A400" t="s">
        <v>503</v>
      </c>
      <c r="B400" t="s">
        <v>543</v>
      </c>
      <c r="C400" t="s">
        <v>145</v>
      </c>
      <c r="D400" t="s">
        <v>513</v>
      </c>
      <c r="E400" t="s">
        <v>156</v>
      </c>
      <c r="F400" t="s">
        <v>1296</v>
      </c>
      <c r="G400" t="s">
        <v>1297</v>
      </c>
    </row>
    <row r="401" spans="1:7" x14ac:dyDescent="0.35">
      <c r="A401" t="s">
        <v>503</v>
      </c>
      <c r="B401" t="s">
        <v>544</v>
      </c>
      <c r="C401" t="s">
        <v>145</v>
      </c>
      <c r="D401" t="s">
        <v>513</v>
      </c>
      <c r="E401" t="s">
        <v>162</v>
      </c>
      <c r="F401" t="s">
        <v>1289</v>
      </c>
      <c r="G401" t="s">
        <v>1290</v>
      </c>
    </row>
    <row r="402" spans="1:7" x14ac:dyDescent="0.35">
      <c r="A402" t="s">
        <v>503</v>
      </c>
      <c r="B402" t="s">
        <v>545</v>
      </c>
      <c r="C402" t="s">
        <v>145</v>
      </c>
      <c r="D402" t="s">
        <v>513</v>
      </c>
      <c r="E402" t="s">
        <v>162</v>
      </c>
      <c r="F402" t="s">
        <v>1289</v>
      </c>
      <c r="G402" t="s">
        <v>1290</v>
      </c>
    </row>
    <row r="403" spans="1:7" x14ac:dyDescent="0.35">
      <c r="A403" t="s">
        <v>503</v>
      </c>
      <c r="B403" t="s">
        <v>546</v>
      </c>
      <c r="C403" t="s">
        <v>207</v>
      </c>
      <c r="D403" t="s">
        <v>513</v>
      </c>
      <c r="E403" t="s">
        <v>162</v>
      </c>
      <c r="F403" t="s">
        <v>1293</v>
      </c>
      <c r="G403" t="s">
        <v>1294</v>
      </c>
    </row>
    <row r="404" spans="1:7" x14ac:dyDescent="0.35">
      <c r="A404" t="s">
        <v>503</v>
      </c>
      <c r="B404" t="s">
        <v>547</v>
      </c>
      <c r="C404" t="s">
        <v>212</v>
      </c>
      <c r="D404" t="s">
        <v>513</v>
      </c>
      <c r="E404" t="s">
        <v>162</v>
      </c>
      <c r="F404" t="s">
        <v>1295</v>
      </c>
      <c r="G404" t="s">
        <v>1292</v>
      </c>
    </row>
    <row r="405" spans="1:7" x14ac:dyDescent="0.35">
      <c r="A405" t="s">
        <v>503</v>
      </c>
      <c r="B405" t="s">
        <v>548</v>
      </c>
      <c r="C405" t="s">
        <v>145</v>
      </c>
      <c r="D405" t="s">
        <v>513</v>
      </c>
      <c r="E405" t="s">
        <v>162</v>
      </c>
      <c r="F405" t="s">
        <v>1289</v>
      </c>
      <c r="G405" t="s">
        <v>1302</v>
      </c>
    </row>
    <row r="406" spans="1:7" x14ac:dyDescent="0.35">
      <c r="A406" t="s">
        <v>503</v>
      </c>
      <c r="B406" t="s">
        <v>549</v>
      </c>
      <c r="C406" t="s">
        <v>145</v>
      </c>
      <c r="D406" t="s">
        <v>513</v>
      </c>
      <c r="E406" t="s">
        <v>162</v>
      </c>
      <c r="F406" t="s">
        <v>1303</v>
      </c>
      <c r="G406" t="s">
        <v>1314</v>
      </c>
    </row>
    <row r="407" spans="1:7" x14ac:dyDescent="0.35">
      <c r="A407" t="s">
        <v>503</v>
      </c>
      <c r="B407" t="s">
        <v>550</v>
      </c>
      <c r="C407" t="s">
        <v>145</v>
      </c>
      <c r="D407" t="s">
        <v>513</v>
      </c>
      <c r="E407" t="s">
        <v>162</v>
      </c>
      <c r="F407" t="s">
        <v>1289</v>
      </c>
      <c r="G407" t="s">
        <v>1302</v>
      </c>
    </row>
    <row r="408" spans="1:7" x14ac:dyDescent="0.35">
      <c r="A408" t="s">
        <v>503</v>
      </c>
      <c r="B408" t="s">
        <v>551</v>
      </c>
      <c r="C408" t="s">
        <v>336</v>
      </c>
      <c r="D408" t="s">
        <v>513</v>
      </c>
      <c r="E408" t="s">
        <v>162</v>
      </c>
    </row>
    <row r="409" spans="1:7" x14ac:dyDescent="0.35">
      <c r="A409" t="s">
        <v>503</v>
      </c>
      <c r="B409" t="s">
        <v>552</v>
      </c>
      <c r="C409" t="s">
        <v>145</v>
      </c>
      <c r="D409" t="s">
        <v>513</v>
      </c>
      <c r="E409" t="s">
        <v>162</v>
      </c>
      <c r="F409" t="s">
        <v>1303</v>
      </c>
      <c r="G409" t="s">
        <v>1304</v>
      </c>
    </row>
    <row r="410" spans="1:7" x14ac:dyDescent="0.35">
      <c r="A410" t="s">
        <v>503</v>
      </c>
      <c r="B410" t="s">
        <v>553</v>
      </c>
      <c r="C410" t="s">
        <v>207</v>
      </c>
      <c r="D410" t="s">
        <v>513</v>
      </c>
      <c r="E410" t="s">
        <v>162</v>
      </c>
      <c r="F410" t="s">
        <v>1300</v>
      </c>
      <c r="G410" t="s">
        <v>1301</v>
      </c>
    </row>
    <row r="411" spans="1:7" x14ac:dyDescent="0.35">
      <c r="A411" t="s">
        <v>503</v>
      </c>
      <c r="B411" t="s">
        <v>554</v>
      </c>
      <c r="C411" t="s">
        <v>145</v>
      </c>
      <c r="D411" t="s">
        <v>513</v>
      </c>
      <c r="E411" t="s">
        <v>162</v>
      </c>
      <c r="F411" t="s">
        <v>1296</v>
      </c>
      <c r="G411" t="s">
        <v>1297</v>
      </c>
    </row>
    <row r="412" spans="1:7" x14ac:dyDescent="0.35">
      <c r="A412" t="s">
        <v>503</v>
      </c>
      <c r="B412" t="s">
        <v>555</v>
      </c>
      <c r="C412" t="s">
        <v>141</v>
      </c>
      <c r="D412" t="s">
        <v>513</v>
      </c>
      <c r="E412" t="s">
        <v>165</v>
      </c>
      <c r="F412" t="s">
        <v>1313</v>
      </c>
      <c r="G412" t="s">
        <v>1310</v>
      </c>
    </row>
    <row r="413" spans="1:7" x14ac:dyDescent="0.35">
      <c r="A413" t="s">
        <v>503</v>
      </c>
      <c r="B413" t="s">
        <v>556</v>
      </c>
      <c r="C413" t="s">
        <v>145</v>
      </c>
      <c r="D413" t="s">
        <v>513</v>
      </c>
      <c r="E413" t="s">
        <v>165</v>
      </c>
      <c r="F413" t="s">
        <v>1303</v>
      </c>
      <c r="G413" t="s">
        <v>1304</v>
      </c>
    </row>
    <row r="414" spans="1:7" x14ac:dyDescent="0.35">
      <c r="A414" t="s">
        <v>503</v>
      </c>
      <c r="B414" t="s">
        <v>557</v>
      </c>
      <c r="C414" t="s">
        <v>145</v>
      </c>
      <c r="D414" t="s">
        <v>513</v>
      </c>
      <c r="E414" t="s">
        <v>165</v>
      </c>
      <c r="F414" t="s">
        <v>1289</v>
      </c>
      <c r="G414" t="s">
        <v>1290</v>
      </c>
    </row>
    <row r="415" spans="1:7" x14ac:dyDescent="0.35">
      <c r="A415" t="s">
        <v>503</v>
      </c>
      <c r="B415" t="s">
        <v>558</v>
      </c>
      <c r="C415" t="s">
        <v>207</v>
      </c>
      <c r="D415" t="s">
        <v>513</v>
      </c>
      <c r="E415" t="s">
        <v>165</v>
      </c>
      <c r="F415" t="s">
        <v>1291</v>
      </c>
      <c r="G415" t="s">
        <v>1292</v>
      </c>
    </row>
    <row r="416" spans="1:7" x14ac:dyDescent="0.35">
      <c r="A416" t="s">
        <v>503</v>
      </c>
      <c r="B416" t="s">
        <v>559</v>
      </c>
      <c r="C416" t="s">
        <v>145</v>
      </c>
      <c r="D416" t="s">
        <v>513</v>
      </c>
      <c r="E416" t="s">
        <v>165</v>
      </c>
      <c r="F416" t="s">
        <v>1289</v>
      </c>
      <c r="G416" t="s">
        <v>1290</v>
      </c>
    </row>
    <row r="417" spans="1:7" x14ac:dyDescent="0.35">
      <c r="A417" t="s">
        <v>503</v>
      </c>
      <c r="B417" t="s">
        <v>560</v>
      </c>
      <c r="C417" t="s">
        <v>207</v>
      </c>
      <c r="D417" t="s">
        <v>513</v>
      </c>
      <c r="E417" t="s">
        <v>165</v>
      </c>
      <c r="F417" t="s">
        <v>1313</v>
      </c>
      <c r="G417" t="s">
        <v>1310</v>
      </c>
    </row>
    <row r="418" spans="1:7" x14ac:dyDescent="0.35">
      <c r="A418" t="s">
        <v>503</v>
      </c>
      <c r="B418" t="s">
        <v>561</v>
      </c>
      <c r="C418" t="s">
        <v>207</v>
      </c>
      <c r="D418" t="s">
        <v>513</v>
      </c>
      <c r="E418" t="s">
        <v>165</v>
      </c>
      <c r="F418" t="s">
        <v>1313</v>
      </c>
      <c r="G418" t="s">
        <v>1310</v>
      </c>
    </row>
    <row r="419" spans="1:7" x14ac:dyDescent="0.35">
      <c r="A419" t="s">
        <v>503</v>
      </c>
      <c r="B419" t="s">
        <v>562</v>
      </c>
      <c r="C419" t="s">
        <v>207</v>
      </c>
      <c r="D419" t="s">
        <v>513</v>
      </c>
      <c r="E419" t="s">
        <v>165</v>
      </c>
      <c r="F419" t="s">
        <v>1295</v>
      </c>
      <c r="G419" t="s">
        <v>1292</v>
      </c>
    </row>
    <row r="420" spans="1:7" x14ac:dyDescent="0.35">
      <c r="A420" t="s">
        <v>503</v>
      </c>
      <c r="B420" t="s">
        <v>563</v>
      </c>
      <c r="C420" t="s">
        <v>207</v>
      </c>
      <c r="D420" t="s">
        <v>513</v>
      </c>
      <c r="E420" t="s">
        <v>165</v>
      </c>
      <c r="F420" t="s">
        <v>1313</v>
      </c>
      <c r="G420" t="s">
        <v>1310</v>
      </c>
    </row>
    <row r="421" spans="1:7" x14ac:dyDescent="0.35">
      <c r="A421" t="s">
        <v>503</v>
      </c>
      <c r="B421" t="s">
        <v>564</v>
      </c>
      <c r="C421" t="s">
        <v>145</v>
      </c>
      <c r="D421" t="s">
        <v>513</v>
      </c>
      <c r="E421" t="s">
        <v>356</v>
      </c>
      <c r="F421" t="s">
        <v>1289</v>
      </c>
      <c r="G421" t="s">
        <v>1302</v>
      </c>
    </row>
    <row r="422" spans="1:7" x14ac:dyDescent="0.35">
      <c r="A422" t="s">
        <v>503</v>
      </c>
      <c r="B422" t="s">
        <v>565</v>
      </c>
      <c r="C422" t="s">
        <v>145</v>
      </c>
      <c r="D422" t="s">
        <v>513</v>
      </c>
      <c r="E422" t="s">
        <v>356</v>
      </c>
      <c r="F422" t="s">
        <v>1303</v>
      </c>
      <c r="G422" t="s">
        <v>1315</v>
      </c>
    </row>
    <row r="423" spans="1:7" x14ac:dyDescent="0.35">
      <c r="A423" t="s">
        <v>503</v>
      </c>
      <c r="B423" t="s">
        <v>566</v>
      </c>
      <c r="C423" t="s">
        <v>145</v>
      </c>
      <c r="D423" t="s">
        <v>513</v>
      </c>
      <c r="E423" t="s">
        <v>167</v>
      </c>
      <c r="F423" t="s">
        <v>1296</v>
      </c>
      <c r="G423" t="s">
        <v>1297</v>
      </c>
    </row>
    <row r="424" spans="1:7" x14ac:dyDescent="0.35">
      <c r="A424" t="s">
        <v>503</v>
      </c>
      <c r="B424" t="s">
        <v>567</v>
      </c>
      <c r="C424" t="s">
        <v>145</v>
      </c>
      <c r="D424" t="s">
        <v>513</v>
      </c>
      <c r="E424" t="s">
        <v>167</v>
      </c>
      <c r="F424" t="s">
        <v>1303</v>
      </c>
      <c r="G424" t="s">
        <v>1314</v>
      </c>
    </row>
    <row r="425" spans="1:7" x14ac:dyDescent="0.35">
      <c r="A425" t="s">
        <v>503</v>
      </c>
      <c r="B425" t="s">
        <v>568</v>
      </c>
      <c r="C425" t="s">
        <v>336</v>
      </c>
      <c r="D425" t="s">
        <v>513</v>
      </c>
      <c r="E425" t="s">
        <v>167</v>
      </c>
    </row>
    <row r="426" spans="1:7" x14ac:dyDescent="0.35">
      <c r="A426" t="s">
        <v>503</v>
      </c>
      <c r="B426" t="s">
        <v>569</v>
      </c>
      <c r="C426" t="s">
        <v>145</v>
      </c>
      <c r="D426" t="s">
        <v>513</v>
      </c>
      <c r="E426" t="s">
        <v>167</v>
      </c>
      <c r="F426" t="s">
        <v>1303</v>
      </c>
      <c r="G426" t="s">
        <v>1314</v>
      </c>
    </row>
    <row r="427" spans="1:7" x14ac:dyDescent="0.35">
      <c r="A427" t="s">
        <v>503</v>
      </c>
      <c r="B427" t="s">
        <v>570</v>
      </c>
      <c r="C427" t="s">
        <v>145</v>
      </c>
      <c r="D427" t="s">
        <v>513</v>
      </c>
      <c r="E427" t="s">
        <v>167</v>
      </c>
      <c r="F427" t="s">
        <v>1289</v>
      </c>
      <c r="G427" t="s">
        <v>1290</v>
      </c>
    </row>
    <row r="428" spans="1:7" x14ac:dyDescent="0.35">
      <c r="A428" t="s">
        <v>503</v>
      </c>
      <c r="B428" t="s">
        <v>571</v>
      </c>
      <c r="C428" t="s">
        <v>145</v>
      </c>
      <c r="D428" t="s">
        <v>513</v>
      </c>
      <c r="E428" t="s">
        <v>167</v>
      </c>
      <c r="F428" t="s">
        <v>1296</v>
      </c>
      <c r="G428" t="s">
        <v>1297</v>
      </c>
    </row>
    <row r="429" spans="1:7" x14ac:dyDescent="0.35">
      <c r="A429" t="s">
        <v>503</v>
      </c>
      <c r="B429" t="s">
        <v>572</v>
      </c>
      <c r="C429" t="s">
        <v>145</v>
      </c>
      <c r="D429" t="s">
        <v>513</v>
      </c>
      <c r="E429" t="s">
        <v>167</v>
      </c>
      <c r="F429" t="s">
        <v>1289</v>
      </c>
      <c r="G429" t="s">
        <v>1290</v>
      </c>
    </row>
    <row r="430" spans="1:7" x14ac:dyDescent="0.35">
      <c r="A430" t="s">
        <v>503</v>
      </c>
      <c r="B430" t="s">
        <v>573</v>
      </c>
      <c r="C430" t="s">
        <v>207</v>
      </c>
      <c r="D430" t="s">
        <v>513</v>
      </c>
      <c r="E430" t="s">
        <v>167</v>
      </c>
      <c r="F430" t="s">
        <v>1313</v>
      </c>
      <c r="G430" t="s">
        <v>1310</v>
      </c>
    </row>
    <row r="431" spans="1:7" x14ac:dyDescent="0.35">
      <c r="A431" t="s">
        <v>503</v>
      </c>
      <c r="B431" t="s">
        <v>574</v>
      </c>
      <c r="C431" t="s">
        <v>145</v>
      </c>
      <c r="D431" t="s">
        <v>513</v>
      </c>
      <c r="E431" t="s">
        <v>170</v>
      </c>
      <c r="F431" t="s">
        <v>1289</v>
      </c>
      <c r="G431" t="s">
        <v>1290</v>
      </c>
    </row>
    <row r="432" spans="1:7" x14ac:dyDescent="0.35">
      <c r="A432" t="s">
        <v>503</v>
      </c>
      <c r="B432" t="s">
        <v>575</v>
      </c>
      <c r="C432" t="s">
        <v>145</v>
      </c>
      <c r="D432" t="s">
        <v>513</v>
      </c>
      <c r="E432" t="s">
        <v>170</v>
      </c>
      <c r="F432" t="s">
        <v>1289</v>
      </c>
      <c r="G432" t="s">
        <v>1290</v>
      </c>
    </row>
    <row r="433" spans="1:7" x14ac:dyDescent="0.35">
      <c r="A433" t="s">
        <v>503</v>
      </c>
      <c r="B433" t="s">
        <v>576</v>
      </c>
      <c r="C433" t="s">
        <v>207</v>
      </c>
      <c r="D433" t="s">
        <v>513</v>
      </c>
      <c r="E433" t="s">
        <v>170</v>
      </c>
      <c r="F433" t="s">
        <v>1313</v>
      </c>
      <c r="G433" t="s">
        <v>1310</v>
      </c>
    </row>
    <row r="434" spans="1:7" x14ac:dyDescent="0.35">
      <c r="A434" t="s">
        <v>503</v>
      </c>
      <c r="B434" t="s">
        <v>577</v>
      </c>
      <c r="C434" t="s">
        <v>207</v>
      </c>
      <c r="D434" t="s">
        <v>513</v>
      </c>
      <c r="E434" t="s">
        <v>173</v>
      </c>
      <c r="F434" t="s">
        <v>1295</v>
      </c>
      <c r="G434" t="s">
        <v>1292</v>
      </c>
    </row>
    <row r="435" spans="1:7" x14ac:dyDescent="0.35">
      <c r="A435" t="s">
        <v>503</v>
      </c>
      <c r="B435" t="s">
        <v>578</v>
      </c>
      <c r="C435" t="s">
        <v>207</v>
      </c>
      <c r="D435" t="s">
        <v>513</v>
      </c>
      <c r="E435" t="s">
        <v>173</v>
      </c>
      <c r="F435" t="s">
        <v>1295</v>
      </c>
      <c r="G435" t="s">
        <v>1292</v>
      </c>
    </row>
    <row r="436" spans="1:7" x14ac:dyDescent="0.35">
      <c r="A436" t="s">
        <v>503</v>
      </c>
      <c r="B436" t="s">
        <v>579</v>
      </c>
      <c r="C436" t="s">
        <v>207</v>
      </c>
      <c r="D436" t="s">
        <v>513</v>
      </c>
      <c r="E436" t="s">
        <v>173</v>
      </c>
      <c r="F436" t="s">
        <v>1298</v>
      </c>
      <c r="G436" t="s">
        <v>1299</v>
      </c>
    </row>
    <row r="437" spans="1:7" x14ac:dyDescent="0.35">
      <c r="A437" t="s">
        <v>503</v>
      </c>
      <c r="B437" t="s">
        <v>580</v>
      </c>
      <c r="C437" t="s">
        <v>145</v>
      </c>
      <c r="D437" t="s">
        <v>513</v>
      </c>
      <c r="E437" t="s">
        <v>173</v>
      </c>
      <c r="F437" t="s">
        <v>1303</v>
      </c>
      <c r="G437" t="s">
        <v>1304</v>
      </c>
    </row>
    <row r="438" spans="1:7" x14ac:dyDescent="0.35">
      <c r="A438" t="s">
        <v>503</v>
      </c>
      <c r="B438" t="s">
        <v>581</v>
      </c>
      <c r="C438" t="s">
        <v>145</v>
      </c>
      <c r="D438" t="s">
        <v>513</v>
      </c>
      <c r="E438" t="s">
        <v>173</v>
      </c>
      <c r="F438" t="s">
        <v>1300</v>
      </c>
      <c r="G438" t="s">
        <v>1301</v>
      </c>
    </row>
    <row r="439" spans="1:7" x14ac:dyDescent="0.35">
      <c r="A439" t="s">
        <v>503</v>
      </c>
      <c r="B439" t="s">
        <v>582</v>
      </c>
      <c r="C439" t="s">
        <v>145</v>
      </c>
      <c r="D439" t="s">
        <v>513</v>
      </c>
      <c r="E439" t="s">
        <v>173</v>
      </c>
      <c r="F439" t="s">
        <v>1289</v>
      </c>
      <c r="G439" t="s">
        <v>1302</v>
      </c>
    </row>
    <row r="440" spans="1:7" x14ac:dyDescent="0.35">
      <c r="A440" t="s">
        <v>503</v>
      </c>
      <c r="B440" t="s">
        <v>583</v>
      </c>
      <c r="C440" t="s">
        <v>145</v>
      </c>
      <c r="D440" t="s">
        <v>513</v>
      </c>
      <c r="E440" t="s">
        <v>173</v>
      </c>
      <c r="F440" t="s">
        <v>1289</v>
      </c>
      <c r="G440" t="s">
        <v>1302</v>
      </c>
    </row>
    <row r="441" spans="1:7" x14ac:dyDescent="0.35">
      <c r="A441" t="s">
        <v>503</v>
      </c>
      <c r="B441" t="s">
        <v>584</v>
      </c>
      <c r="C441" t="s">
        <v>145</v>
      </c>
      <c r="D441" t="s">
        <v>513</v>
      </c>
      <c r="E441" t="s">
        <v>178</v>
      </c>
      <c r="F441" t="s">
        <v>1289</v>
      </c>
      <c r="G441" t="s">
        <v>1302</v>
      </c>
    </row>
    <row r="442" spans="1:7" x14ac:dyDescent="0.35">
      <c r="A442" t="s">
        <v>503</v>
      </c>
      <c r="B442" t="s">
        <v>585</v>
      </c>
      <c r="C442" t="s">
        <v>141</v>
      </c>
      <c r="D442" t="s">
        <v>513</v>
      </c>
      <c r="E442" t="s">
        <v>178</v>
      </c>
      <c r="F442" t="s">
        <v>1291</v>
      </c>
      <c r="G442" t="s">
        <v>1316</v>
      </c>
    </row>
    <row r="443" spans="1:7" x14ac:dyDescent="0.35">
      <c r="A443" t="s">
        <v>503</v>
      </c>
      <c r="B443" t="s">
        <v>586</v>
      </c>
      <c r="C443" t="s">
        <v>145</v>
      </c>
      <c r="D443" t="s">
        <v>513</v>
      </c>
      <c r="E443" t="s">
        <v>178</v>
      </c>
      <c r="F443" t="s">
        <v>1289</v>
      </c>
      <c r="G443" t="s">
        <v>1302</v>
      </c>
    </row>
    <row r="444" spans="1:7" x14ac:dyDescent="0.35">
      <c r="A444" t="s">
        <v>503</v>
      </c>
      <c r="B444" t="s">
        <v>587</v>
      </c>
      <c r="C444" t="s">
        <v>207</v>
      </c>
      <c r="D444" t="s">
        <v>513</v>
      </c>
      <c r="E444" t="s">
        <v>178</v>
      </c>
      <c r="F444" t="s">
        <v>1291</v>
      </c>
      <c r="G444" t="s">
        <v>1292</v>
      </c>
    </row>
    <row r="445" spans="1:7" x14ac:dyDescent="0.35">
      <c r="A445" t="s">
        <v>503</v>
      </c>
      <c r="B445" t="s">
        <v>588</v>
      </c>
      <c r="C445" t="s">
        <v>145</v>
      </c>
      <c r="D445" t="s">
        <v>513</v>
      </c>
      <c r="E445" t="s">
        <v>178</v>
      </c>
      <c r="F445" t="s">
        <v>1289</v>
      </c>
      <c r="G445" t="s">
        <v>1290</v>
      </c>
    </row>
    <row r="446" spans="1:7" x14ac:dyDescent="0.35">
      <c r="A446" t="s">
        <v>503</v>
      </c>
      <c r="B446" t="s">
        <v>589</v>
      </c>
      <c r="C446" t="s">
        <v>145</v>
      </c>
      <c r="D446" t="s">
        <v>513</v>
      </c>
      <c r="E446" t="s">
        <v>178</v>
      </c>
      <c r="F446" t="s">
        <v>1303</v>
      </c>
      <c r="G446" t="s">
        <v>1317</v>
      </c>
    </row>
    <row r="447" spans="1:7" x14ac:dyDescent="0.35">
      <c r="A447" t="s">
        <v>503</v>
      </c>
      <c r="B447" t="s">
        <v>590</v>
      </c>
      <c r="C447" t="s">
        <v>145</v>
      </c>
      <c r="D447" t="s">
        <v>513</v>
      </c>
      <c r="E447" t="s">
        <v>178</v>
      </c>
      <c r="F447" t="s">
        <v>1289</v>
      </c>
      <c r="G447" t="s">
        <v>1302</v>
      </c>
    </row>
    <row r="448" spans="1:7" x14ac:dyDescent="0.35">
      <c r="A448" t="s">
        <v>503</v>
      </c>
      <c r="B448" t="s">
        <v>591</v>
      </c>
      <c r="C448" t="s">
        <v>336</v>
      </c>
      <c r="D448" t="s">
        <v>513</v>
      </c>
      <c r="E448" t="s">
        <v>178</v>
      </c>
    </row>
    <row r="449" spans="1:7" x14ac:dyDescent="0.35">
      <c r="A449" t="s">
        <v>503</v>
      </c>
      <c r="B449" t="s">
        <v>592</v>
      </c>
      <c r="C449" t="s">
        <v>141</v>
      </c>
      <c r="D449" t="s">
        <v>513</v>
      </c>
      <c r="E449" t="s">
        <v>178</v>
      </c>
      <c r="F449" t="s">
        <v>1318</v>
      </c>
      <c r="G449" t="s">
        <v>1319</v>
      </c>
    </row>
    <row r="450" spans="1:7" x14ac:dyDescent="0.35">
      <c r="A450" t="s">
        <v>503</v>
      </c>
      <c r="B450" t="s">
        <v>593</v>
      </c>
      <c r="C450" t="s">
        <v>141</v>
      </c>
      <c r="D450" t="s">
        <v>513</v>
      </c>
      <c r="E450" t="s">
        <v>183</v>
      </c>
      <c r="F450" t="s">
        <v>1293</v>
      </c>
      <c r="G450" t="s">
        <v>1294</v>
      </c>
    </row>
    <row r="451" spans="1:7" x14ac:dyDescent="0.35">
      <c r="A451" t="s">
        <v>503</v>
      </c>
      <c r="B451" t="s">
        <v>594</v>
      </c>
      <c r="C451" t="s">
        <v>145</v>
      </c>
      <c r="D451" t="s">
        <v>513</v>
      </c>
      <c r="E451" t="s">
        <v>183</v>
      </c>
      <c r="F451" t="s">
        <v>1296</v>
      </c>
      <c r="G451" t="s">
        <v>1297</v>
      </c>
    </row>
    <row r="452" spans="1:7" x14ac:dyDescent="0.35">
      <c r="A452" t="s">
        <v>503</v>
      </c>
      <c r="B452" t="s">
        <v>595</v>
      </c>
      <c r="C452" t="s">
        <v>145</v>
      </c>
      <c r="D452" t="s">
        <v>513</v>
      </c>
      <c r="E452" t="s">
        <v>183</v>
      </c>
      <c r="F452" t="s">
        <v>1289</v>
      </c>
      <c r="G452" t="s">
        <v>1290</v>
      </c>
    </row>
    <row r="453" spans="1:7" x14ac:dyDescent="0.35">
      <c r="A453" t="s">
        <v>503</v>
      </c>
      <c r="B453" t="s">
        <v>596</v>
      </c>
      <c r="C453" t="s">
        <v>207</v>
      </c>
      <c r="D453" t="s">
        <v>513</v>
      </c>
      <c r="E453" t="s">
        <v>183</v>
      </c>
      <c r="F453" t="s">
        <v>1320</v>
      </c>
      <c r="G453" t="s">
        <v>1321</v>
      </c>
    </row>
    <row r="454" spans="1:7" x14ac:dyDescent="0.35">
      <c r="A454" t="s">
        <v>503</v>
      </c>
      <c r="B454" t="s">
        <v>597</v>
      </c>
      <c r="C454" t="s">
        <v>145</v>
      </c>
      <c r="D454" t="s">
        <v>513</v>
      </c>
      <c r="E454" t="s">
        <v>183</v>
      </c>
      <c r="F454" t="s">
        <v>1289</v>
      </c>
      <c r="G454" t="s">
        <v>1290</v>
      </c>
    </row>
    <row r="455" spans="1:7" x14ac:dyDescent="0.35">
      <c r="A455" t="s">
        <v>503</v>
      </c>
      <c r="B455" t="s">
        <v>598</v>
      </c>
      <c r="C455" t="s">
        <v>145</v>
      </c>
      <c r="D455" t="s">
        <v>513</v>
      </c>
      <c r="E455" t="s">
        <v>183</v>
      </c>
      <c r="F455" t="s">
        <v>1296</v>
      </c>
      <c r="G455" t="s">
        <v>1297</v>
      </c>
    </row>
    <row r="456" spans="1:7" x14ac:dyDescent="0.35">
      <c r="A456" t="s">
        <v>503</v>
      </c>
      <c r="B456" t="s">
        <v>599</v>
      </c>
      <c r="C456" t="s">
        <v>145</v>
      </c>
      <c r="D456" t="s">
        <v>513</v>
      </c>
      <c r="E456" t="s">
        <v>183</v>
      </c>
      <c r="F456" t="s">
        <v>1289</v>
      </c>
      <c r="G456" t="s">
        <v>1290</v>
      </c>
    </row>
    <row r="457" spans="1:7" x14ac:dyDescent="0.35">
      <c r="A457" t="s">
        <v>503</v>
      </c>
      <c r="B457" t="s">
        <v>600</v>
      </c>
      <c r="C457" t="s">
        <v>145</v>
      </c>
      <c r="D457" t="s">
        <v>513</v>
      </c>
      <c r="E457" t="s">
        <v>189</v>
      </c>
      <c r="F457" t="s">
        <v>1289</v>
      </c>
      <c r="G457" t="s">
        <v>1290</v>
      </c>
    </row>
    <row r="458" spans="1:7" x14ac:dyDescent="0.35">
      <c r="A458" t="s">
        <v>503</v>
      </c>
      <c r="B458" t="s">
        <v>601</v>
      </c>
      <c r="C458" t="s">
        <v>207</v>
      </c>
      <c r="D458" t="s">
        <v>513</v>
      </c>
      <c r="E458" t="s">
        <v>189</v>
      </c>
      <c r="F458" t="s">
        <v>1291</v>
      </c>
      <c r="G458" t="s">
        <v>1292</v>
      </c>
    </row>
    <row r="459" spans="1:7" x14ac:dyDescent="0.35">
      <c r="A459" t="s">
        <v>503</v>
      </c>
      <c r="B459" t="s">
        <v>602</v>
      </c>
      <c r="C459" t="s">
        <v>145</v>
      </c>
      <c r="D459" t="s">
        <v>513</v>
      </c>
      <c r="E459" t="s">
        <v>189</v>
      </c>
      <c r="F459" t="s">
        <v>1303</v>
      </c>
      <c r="G459" t="s">
        <v>1304</v>
      </c>
    </row>
    <row r="460" spans="1:7" x14ac:dyDescent="0.35">
      <c r="A460" t="s">
        <v>503</v>
      </c>
      <c r="B460" t="s">
        <v>603</v>
      </c>
      <c r="C460" t="s">
        <v>145</v>
      </c>
      <c r="D460" t="s">
        <v>513</v>
      </c>
      <c r="E460" t="s">
        <v>189</v>
      </c>
      <c r="F460" t="s">
        <v>1289</v>
      </c>
      <c r="G460" t="s">
        <v>1290</v>
      </c>
    </row>
    <row r="461" spans="1:7" x14ac:dyDescent="0.35">
      <c r="A461" t="s">
        <v>503</v>
      </c>
      <c r="B461" t="s">
        <v>604</v>
      </c>
      <c r="C461" t="s">
        <v>145</v>
      </c>
      <c r="D461" t="s">
        <v>513</v>
      </c>
      <c r="E461" t="s">
        <v>189</v>
      </c>
      <c r="F461" t="s">
        <v>1289</v>
      </c>
      <c r="G461" t="s">
        <v>1290</v>
      </c>
    </row>
    <row r="462" spans="1:7" x14ac:dyDescent="0.35">
      <c r="A462" t="s">
        <v>503</v>
      </c>
      <c r="B462" t="s">
        <v>605</v>
      </c>
      <c r="C462" t="s">
        <v>145</v>
      </c>
      <c r="D462" t="s">
        <v>513</v>
      </c>
      <c r="E462" t="s">
        <v>301</v>
      </c>
      <c r="F462" t="s">
        <v>1289</v>
      </c>
      <c r="G462" t="s">
        <v>1302</v>
      </c>
    </row>
    <row r="463" spans="1:7" x14ac:dyDescent="0.35">
      <c r="A463" t="s">
        <v>503</v>
      </c>
      <c r="B463" t="s">
        <v>606</v>
      </c>
      <c r="C463" t="s">
        <v>145</v>
      </c>
      <c r="D463" t="s">
        <v>513</v>
      </c>
      <c r="E463" t="s">
        <v>301</v>
      </c>
      <c r="F463" t="s">
        <v>1289</v>
      </c>
      <c r="G463" t="s">
        <v>1290</v>
      </c>
    </row>
    <row r="464" spans="1:7" x14ac:dyDescent="0.35">
      <c r="A464" t="s">
        <v>503</v>
      </c>
      <c r="B464" t="s">
        <v>607</v>
      </c>
      <c r="C464" t="s">
        <v>145</v>
      </c>
      <c r="D464" t="s">
        <v>513</v>
      </c>
      <c r="E464" t="s">
        <v>191</v>
      </c>
      <c r="F464" t="s">
        <v>1289</v>
      </c>
      <c r="G464" t="s">
        <v>1302</v>
      </c>
    </row>
    <row r="465" spans="1:7" x14ac:dyDescent="0.35">
      <c r="A465" t="s">
        <v>503</v>
      </c>
      <c r="B465" t="s">
        <v>608</v>
      </c>
      <c r="C465" t="s">
        <v>145</v>
      </c>
      <c r="D465" t="s">
        <v>513</v>
      </c>
      <c r="E465" t="s">
        <v>191</v>
      </c>
      <c r="F465" t="s">
        <v>1293</v>
      </c>
      <c r="G465" t="s">
        <v>1294</v>
      </c>
    </row>
    <row r="466" spans="1:7" x14ac:dyDescent="0.35">
      <c r="A466" t="s">
        <v>503</v>
      </c>
      <c r="B466" t="s">
        <v>609</v>
      </c>
      <c r="C466" t="s">
        <v>145</v>
      </c>
      <c r="D466" t="s">
        <v>513</v>
      </c>
      <c r="E466" t="s">
        <v>191</v>
      </c>
      <c r="F466" t="s">
        <v>1289</v>
      </c>
      <c r="G466" t="s">
        <v>1290</v>
      </c>
    </row>
    <row r="467" spans="1:7" x14ac:dyDescent="0.35">
      <c r="A467" t="s">
        <v>503</v>
      </c>
      <c r="B467" t="s">
        <v>610</v>
      </c>
      <c r="C467" t="s">
        <v>145</v>
      </c>
      <c r="D467" t="s">
        <v>513</v>
      </c>
      <c r="E467" t="s">
        <v>191</v>
      </c>
      <c r="F467" t="s">
        <v>1289</v>
      </c>
      <c r="G467" t="s">
        <v>1290</v>
      </c>
    </row>
    <row r="468" spans="1:7" x14ac:dyDescent="0.35">
      <c r="A468" t="s">
        <v>503</v>
      </c>
      <c r="B468" t="s">
        <v>611</v>
      </c>
      <c r="C468" t="s">
        <v>145</v>
      </c>
      <c r="D468" t="s">
        <v>513</v>
      </c>
      <c r="E468" t="s">
        <v>191</v>
      </c>
      <c r="F468" t="s">
        <v>1303</v>
      </c>
      <c r="G468" t="s">
        <v>1315</v>
      </c>
    </row>
    <row r="469" spans="1:7" x14ac:dyDescent="0.35">
      <c r="A469" t="s">
        <v>503</v>
      </c>
      <c r="B469" t="s">
        <v>612</v>
      </c>
      <c r="C469" t="s">
        <v>207</v>
      </c>
      <c r="D469" t="s">
        <v>513</v>
      </c>
      <c r="E469" t="s">
        <v>191</v>
      </c>
      <c r="F469" t="s">
        <v>1289</v>
      </c>
      <c r="G469" t="s">
        <v>1290</v>
      </c>
    </row>
    <row r="470" spans="1:7" x14ac:dyDescent="0.35">
      <c r="A470" t="s">
        <v>503</v>
      </c>
      <c r="B470" t="s">
        <v>613</v>
      </c>
      <c r="C470" t="s">
        <v>145</v>
      </c>
      <c r="D470" t="s">
        <v>513</v>
      </c>
      <c r="E470" t="s">
        <v>191</v>
      </c>
      <c r="F470" t="s">
        <v>1296</v>
      </c>
      <c r="G470" t="s">
        <v>1297</v>
      </c>
    </row>
    <row r="471" spans="1:7" x14ac:dyDescent="0.35">
      <c r="A471" t="s">
        <v>503</v>
      </c>
      <c r="B471" t="s">
        <v>614</v>
      </c>
      <c r="C471" t="s">
        <v>207</v>
      </c>
      <c r="D471" t="s">
        <v>513</v>
      </c>
      <c r="E471" t="s">
        <v>191</v>
      </c>
      <c r="F471" t="s">
        <v>1322</v>
      </c>
      <c r="G471" t="s">
        <v>1323</v>
      </c>
    </row>
    <row r="472" spans="1:7" x14ac:dyDescent="0.35">
      <c r="A472" t="s">
        <v>503</v>
      </c>
      <c r="B472" t="s">
        <v>615</v>
      </c>
      <c r="C472" t="s">
        <v>145</v>
      </c>
      <c r="D472" t="s">
        <v>513</v>
      </c>
      <c r="E472" t="s">
        <v>191</v>
      </c>
      <c r="F472" t="s">
        <v>1303</v>
      </c>
      <c r="G472" t="s">
        <v>1307</v>
      </c>
    </row>
    <row r="473" spans="1:7" x14ac:dyDescent="0.35">
      <c r="A473" t="s">
        <v>503</v>
      </c>
      <c r="B473" t="s">
        <v>616</v>
      </c>
      <c r="C473" t="s">
        <v>145</v>
      </c>
      <c r="D473" t="s">
        <v>513</v>
      </c>
      <c r="E473" t="s">
        <v>196</v>
      </c>
      <c r="F473" t="s">
        <v>1303</v>
      </c>
      <c r="G473" t="s">
        <v>1304</v>
      </c>
    </row>
    <row r="474" spans="1:7" x14ac:dyDescent="0.35">
      <c r="A474" t="s">
        <v>503</v>
      </c>
      <c r="B474" t="s">
        <v>1324</v>
      </c>
      <c r="C474" t="s">
        <v>145</v>
      </c>
      <c r="D474" t="s">
        <v>513</v>
      </c>
      <c r="E474" t="s">
        <v>196</v>
      </c>
      <c r="F474" t="s">
        <v>1289</v>
      </c>
      <c r="G474" t="s">
        <v>1290</v>
      </c>
    </row>
    <row r="475" spans="1:7" x14ac:dyDescent="0.35">
      <c r="A475" t="s">
        <v>503</v>
      </c>
      <c r="B475" t="s">
        <v>1325</v>
      </c>
      <c r="C475" t="s">
        <v>145</v>
      </c>
      <c r="D475" t="s">
        <v>513</v>
      </c>
      <c r="E475" t="s">
        <v>196</v>
      </c>
      <c r="F475" t="s">
        <v>1289</v>
      </c>
      <c r="G475" t="s">
        <v>1290</v>
      </c>
    </row>
    <row r="476" spans="1:7" x14ac:dyDescent="0.35">
      <c r="A476" t="s">
        <v>503</v>
      </c>
      <c r="B476" t="s">
        <v>1326</v>
      </c>
      <c r="C476" t="s">
        <v>145</v>
      </c>
      <c r="D476" t="s">
        <v>513</v>
      </c>
      <c r="E476" t="s">
        <v>196</v>
      </c>
      <c r="F476" t="s">
        <v>1289</v>
      </c>
      <c r="G476" t="s">
        <v>1290</v>
      </c>
    </row>
    <row r="477" spans="1:7" x14ac:dyDescent="0.35">
      <c r="A477" t="s">
        <v>503</v>
      </c>
      <c r="B477" t="s">
        <v>1327</v>
      </c>
      <c r="C477" t="s">
        <v>145</v>
      </c>
      <c r="D477" t="s">
        <v>513</v>
      </c>
      <c r="E477" t="s">
        <v>196</v>
      </c>
      <c r="F477" t="s">
        <v>1313</v>
      </c>
      <c r="G477" t="s">
        <v>1310</v>
      </c>
    </row>
    <row r="478" spans="1:7" x14ac:dyDescent="0.35">
      <c r="A478" t="s">
        <v>503</v>
      </c>
      <c r="B478" t="s">
        <v>1328</v>
      </c>
      <c r="C478" t="s">
        <v>145</v>
      </c>
      <c r="D478" t="s">
        <v>513</v>
      </c>
      <c r="E478" t="s">
        <v>196</v>
      </c>
      <c r="F478" t="s">
        <v>1296</v>
      </c>
      <c r="G478" t="s">
        <v>1297</v>
      </c>
    </row>
    <row r="479" spans="1:7" x14ac:dyDescent="0.35">
      <c r="A479" t="s">
        <v>503</v>
      </c>
      <c r="B479" t="s">
        <v>1329</v>
      </c>
      <c r="C479" t="s">
        <v>145</v>
      </c>
      <c r="D479" t="s">
        <v>513</v>
      </c>
      <c r="E479" t="s">
        <v>1117</v>
      </c>
      <c r="F479" t="s">
        <v>1303</v>
      </c>
      <c r="G479" t="s">
        <v>1317</v>
      </c>
    </row>
    <row r="480" spans="1:7" x14ac:dyDescent="0.35">
      <c r="A480" t="s">
        <v>503</v>
      </c>
      <c r="B480" t="s">
        <v>1330</v>
      </c>
      <c r="C480" t="s">
        <v>145</v>
      </c>
      <c r="D480" t="s">
        <v>513</v>
      </c>
      <c r="E480" t="s">
        <v>1117</v>
      </c>
      <c r="F480" t="s">
        <v>1296</v>
      </c>
      <c r="G480" t="s">
        <v>1297</v>
      </c>
    </row>
    <row r="481" spans="1:7" x14ac:dyDescent="0.35">
      <c r="A481" t="s">
        <v>503</v>
      </c>
      <c r="B481" t="s">
        <v>1331</v>
      </c>
      <c r="C481" t="s">
        <v>207</v>
      </c>
      <c r="D481" t="s">
        <v>513</v>
      </c>
      <c r="E481" t="s">
        <v>1117</v>
      </c>
      <c r="F481" t="s">
        <v>1295</v>
      </c>
      <c r="G481" t="s">
        <v>1292</v>
      </c>
    </row>
    <row r="482" spans="1:7" x14ac:dyDescent="0.35">
      <c r="A482" t="s">
        <v>503</v>
      </c>
      <c r="B482" t="s">
        <v>1332</v>
      </c>
      <c r="C482" t="s">
        <v>207</v>
      </c>
      <c r="D482" t="s">
        <v>513</v>
      </c>
      <c r="E482" t="s">
        <v>1117</v>
      </c>
      <c r="F482" t="s">
        <v>1295</v>
      </c>
      <c r="G482" t="s">
        <v>1321</v>
      </c>
    </row>
    <row r="483" spans="1:7" x14ac:dyDescent="0.35">
      <c r="A483" t="s">
        <v>503</v>
      </c>
      <c r="B483" t="s">
        <v>1333</v>
      </c>
      <c r="C483" t="s">
        <v>145</v>
      </c>
      <c r="D483" t="s">
        <v>513</v>
      </c>
      <c r="E483" t="s">
        <v>1117</v>
      </c>
      <c r="F483" t="s">
        <v>1303</v>
      </c>
      <c r="G483" t="s">
        <v>1304</v>
      </c>
    </row>
    <row r="484" spans="1:7" x14ac:dyDescent="0.35">
      <c r="A484" t="s">
        <v>503</v>
      </c>
      <c r="B484" t="s">
        <v>1334</v>
      </c>
      <c r="C484" t="s">
        <v>207</v>
      </c>
      <c r="D484" t="s">
        <v>513</v>
      </c>
      <c r="E484" t="s">
        <v>1117</v>
      </c>
      <c r="F484" t="s">
        <v>1295</v>
      </c>
      <c r="G484" t="s">
        <v>1292</v>
      </c>
    </row>
    <row r="485" spans="1:7" x14ac:dyDescent="0.35">
      <c r="A485" t="s">
        <v>503</v>
      </c>
      <c r="B485" t="s">
        <v>1335</v>
      </c>
      <c r="C485" t="s">
        <v>207</v>
      </c>
      <c r="D485" t="s">
        <v>513</v>
      </c>
      <c r="E485" t="s">
        <v>1117</v>
      </c>
      <c r="F485" t="s">
        <v>1298</v>
      </c>
      <c r="G485" t="s">
        <v>1299</v>
      </c>
    </row>
    <row r="486" spans="1:7" x14ac:dyDescent="0.35">
      <c r="A486" t="s">
        <v>503</v>
      </c>
      <c r="B486" t="s">
        <v>1336</v>
      </c>
      <c r="C486" t="s">
        <v>145</v>
      </c>
      <c r="D486" t="s">
        <v>513</v>
      </c>
      <c r="E486" t="s">
        <v>1117</v>
      </c>
      <c r="F486" t="s">
        <v>1303</v>
      </c>
      <c r="G486" t="s">
        <v>1315</v>
      </c>
    </row>
    <row r="487" spans="1:7" x14ac:dyDescent="0.35">
      <c r="A487" t="s">
        <v>503</v>
      </c>
      <c r="B487" t="s">
        <v>617</v>
      </c>
      <c r="C487" t="s">
        <v>207</v>
      </c>
      <c r="D487" t="s">
        <v>618</v>
      </c>
      <c r="E487" t="s">
        <v>143</v>
      </c>
      <c r="F487" t="s">
        <v>1337</v>
      </c>
      <c r="G487" t="s">
        <v>1338</v>
      </c>
    </row>
    <row r="488" spans="1:7" x14ac:dyDescent="0.35">
      <c r="A488" t="s">
        <v>503</v>
      </c>
      <c r="B488" t="s">
        <v>619</v>
      </c>
      <c r="C488" t="s">
        <v>207</v>
      </c>
      <c r="D488" t="s">
        <v>618</v>
      </c>
      <c r="E488" t="s">
        <v>143</v>
      </c>
      <c r="F488" t="s">
        <v>1339</v>
      </c>
      <c r="G488" t="s">
        <v>1340</v>
      </c>
    </row>
    <row r="489" spans="1:7" x14ac:dyDescent="0.35">
      <c r="A489" t="s">
        <v>503</v>
      </c>
      <c r="B489" t="s">
        <v>620</v>
      </c>
      <c r="C489" t="s">
        <v>207</v>
      </c>
      <c r="D489" t="s">
        <v>618</v>
      </c>
      <c r="E489" t="s">
        <v>143</v>
      </c>
      <c r="F489" t="s">
        <v>1339</v>
      </c>
      <c r="G489" t="s">
        <v>1340</v>
      </c>
    </row>
    <row r="490" spans="1:7" x14ac:dyDescent="0.35">
      <c r="A490" t="s">
        <v>503</v>
      </c>
      <c r="B490" t="s">
        <v>621</v>
      </c>
      <c r="C490" t="s">
        <v>207</v>
      </c>
      <c r="D490" t="s">
        <v>618</v>
      </c>
      <c r="E490" t="s">
        <v>156</v>
      </c>
      <c r="F490" t="s">
        <v>1337</v>
      </c>
      <c r="G490" t="s">
        <v>1338</v>
      </c>
    </row>
    <row r="491" spans="1:7" x14ac:dyDescent="0.35">
      <c r="A491" t="s">
        <v>503</v>
      </c>
      <c r="B491" t="s">
        <v>622</v>
      </c>
      <c r="C491" t="s">
        <v>207</v>
      </c>
      <c r="D491" t="s">
        <v>618</v>
      </c>
      <c r="E491" t="s">
        <v>162</v>
      </c>
      <c r="F491" t="s">
        <v>1337</v>
      </c>
      <c r="G491" t="s">
        <v>1338</v>
      </c>
    </row>
    <row r="492" spans="1:7" x14ac:dyDescent="0.35">
      <c r="A492" t="s">
        <v>503</v>
      </c>
      <c r="B492" t="s">
        <v>623</v>
      </c>
      <c r="C492" t="s">
        <v>145</v>
      </c>
      <c r="D492" t="s">
        <v>618</v>
      </c>
      <c r="E492" t="s">
        <v>170</v>
      </c>
      <c r="F492" t="s">
        <v>1341</v>
      </c>
      <c r="G492" t="s">
        <v>1342</v>
      </c>
    </row>
    <row r="493" spans="1:7" x14ac:dyDescent="0.35">
      <c r="A493" t="s">
        <v>503</v>
      </c>
      <c r="B493" t="s">
        <v>624</v>
      </c>
      <c r="C493" t="s">
        <v>217</v>
      </c>
      <c r="D493" t="s">
        <v>618</v>
      </c>
      <c r="E493" t="s">
        <v>170</v>
      </c>
      <c r="F493" t="s">
        <v>1339</v>
      </c>
      <c r="G493" t="s">
        <v>1340</v>
      </c>
    </row>
    <row r="494" spans="1:7" x14ac:dyDescent="0.35">
      <c r="A494" t="s">
        <v>503</v>
      </c>
      <c r="B494" t="s">
        <v>625</v>
      </c>
      <c r="C494" t="s">
        <v>145</v>
      </c>
      <c r="D494" t="s">
        <v>618</v>
      </c>
      <c r="E494" t="s">
        <v>170</v>
      </c>
      <c r="F494" t="s">
        <v>1341</v>
      </c>
      <c r="G494" t="s">
        <v>1342</v>
      </c>
    </row>
    <row r="495" spans="1:7" x14ac:dyDescent="0.35">
      <c r="A495" t="s">
        <v>503</v>
      </c>
      <c r="B495" t="s">
        <v>626</v>
      </c>
      <c r="C495" t="s">
        <v>145</v>
      </c>
      <c r="D495" t="s">
        <v>618</v>
      </c>
      <c r="E495" t="s">
        <v>173</v>
      </c>
      <c r="F495" t="s">
        <v>1343</v>
      </c>
      <c r="G495" t="s">
        <v>1344</v>
      </c>
    </row>
    <row r="496" spans="1:7" x14ac:dyDescent="0.35">
      <c r="A496" t="s">
        <v>503</v>
      </c>
      <c r="B496" t="s">
        <v>627</v>
      </c>
      <c r="C496" t="s">
        <v>145</v>
      </c>
      <c r="D496" t="s">
        <v>618</v>
      </c>
      <c r="E496" t="s">
        <v>173</v>
      </c>
      <c r="F496" t="s">
        <v>1345</v>
      </c>
      <c r="G496" t="s">
        <v>1346</v>
      </c>
    </row>
    <row r="497" spans="1:7" x14ac:dyDescent="0.35">
      <c r="A497" t="s">
        <v>503</v>
      </c>
      <c r="B497" t="s">
        <v>628</v>
      </c>
      <c r="C497" t="s">
        <v>207</v>
      </c>
      <c r="D497" t="s">
        <v>618</v>
      </c>
      <c r="E497" t="s">
        <v>178</v>
      </c>
      <c r="F497" t="s">
        <v>1337</v>
      </c>
      <c r="G497" t="s">
        <v>1338</v>
      </c>
    </row>
    <row r="498" spans="1:7" x14ac:dyDescent="0.35">
      <c r="A498" t="s">
        <v>503</v>
      </c>
      <c r="B498" t="s">
        <v>629</v>
      </c>
      <c r="C498" t="s">
        <v>217</v>
      </c>
      <c r="D498" t="s">
        <v>618</v>
      </c>
      <c r="E498" t="s">
        <v>178</v>
      </c>
      <c r="F498" t="s">
        <v>1341</v>
      </c>
      <c r="G498" t="s">
        <v>1342</v>
      </c>
    </row>
    <row r="499" spans="1:7" x14ac:dyDescent="0.35">
      <c r="A499" t="s">
        <v>503</v>
      </c>
      <c r="B499" t="s">
        <v>630</v>
      </c>
      <c r="C499" t="s">
        <v>207</v>
      </c>
      <c r="D499" t="s">
        <v>618</v>
      </c>
      <c r="E499" t="s">
        <v>178</v>
      </c>
      <c r="F499" t="s">
        <v>1339</v>
      </c>
      <c r="G499" t="s">
        <v>1340</v>
      </c>
    </row>
    <row r="500" spans="1:7" x14ac:dyDescent="0.35">
      <c r="A500" t="s">
        <v>503</v>
      </c>
      <c r="B500" t="s">
        <v>631</v>
      </c>
      <c r="C500" t="s">
        <v>207</v>
      </c>
      <c r="D500" t="s">
        <v>618</v>
      </c>
      <c r="E500" t="s">
        <v>183</v>
      </c>
      <c r="F500" t="s">
        <v>1337</v>
      </c>
      <c r="G500" t="s">
        <v>1338</v>
      </c>
    </row>
    <row r="501" spans="1:7" x14ac:dyDescent="0.35">
      <c r="A501" t="s">
        <v>503</v>
      </c>
      <c r="B501" t="s">
        <v>632</v>
      </c>
      <c r="C501" t="s">
        <v>207</v>
      </c>
      <c r="D501" t="s">
        <v>618</v>
      </c>
      <c r="E501" t="s">
        <v>189</v>
      </c>
      <c r="F501" t="s">
        <v>1339</v>
      </c>
      <c r="G501" t="s">
        <v>1340</v>
      </c>
    </row>
    <row r="502" spans="1:7" x14ac:dyDescent="0.35">
      <c r="A502" t="s">
        <v>503</v>
      </c>
      <c r="B502" t="s">
        <v>633</v>
      </c>
      <c r="C502" t="s">
        <v>207</v>
      </c>
      <c r="D502" t="s">
        <v>618</v>
      </c>
      <c r="E502" t="s">
        <v>301</v>
      </c>
      <c r="F502" t="s">
        <v>1337</v>
      </c>
      <c r="G502" t="s">
        <v>1338</v>
      </c>
    </row>
    <row r="503" spans="1:7" x14ac:dyDescent="0.35">
      <c r="A503" t="s">
        <v>503</v>
      </c>
      <c r="B503" t="s">
        <v>634</v>
      </c>
      <c r="C503" t="s">
        <v>145</v>
      </c>
      <c r="D503" t="s">
        <v>618</v>
      </c>
      <c r="E503" t="s">
        <v>191</v>
      </c>
      <c r="F503" t="s">
        <v>1337</v>
      </c>
      <c r="G503" t="s">
        <v>1338</v>
      </c>
    </row>
    <row r="504" spans="1:7" x14ac:dyDescent="0.35">
      <c r="A504" t="s">
        <v>503</v>
      </c>
      <c r="B504" t="s">
        <v>635</v>
      </c>
      <c r="C504" t="s">
        <v>207</v>
      </c>
      <c r="D504" t="s">
        <v>618</v>
      </c>
      <c r="E504" t="s">
        <v>196</v>
      </c>
      <c r="F504" t="s">
        <v>1339</v>
      </c>
      <c r="G504" t="s">
        <v>1340</v>
      </c>
    </row>
    <row r="505" spans="1:7" x14ac:dyDescent="0.35">
      <c r="A505" t="s">
        <v>503</v>
      </c>
      <c r="B505" t="s">
        <v>1347</v>
      </c>
      <c r="C505" t="s">
        <v>207</v>
      </c>
      <c r="D505" t="s">
        <v>618</v>
      </c>
      <c r="E505" t="s">
        <v>196</v>
      </c>
      <c r="F505" t="s">
        <v>1337</v>
      </c>
      <c r="G505" t="s">
        <v>1338</v>
      </c>
    </row>
    <row r="506" spans="1:7" x14ac:dyDescent="0.35">
      <c r="A506" t="s">
        <v>503</v>
      </c>
      <c r="B506" t="s">
        <v>1348</v>
      </c>
      <c r="C506" t="s">
        <v>207</v>
      </c>
      <c r="D506" t="s">
        <v>618</v>
      </c>
      <c r="E506" t="s">
        <v>196</v>
      </c>
      <c r="F506" t="s">
        <v>1337</v>
      </c>
      <c r="G506" t="s">
        <v>1338</v>
      </c>
    </row>
    <row r="507" spans="1:7" x14ac:dyDescent="0.35">
      <c r="A507" t="s">
        <v>503</v>
      </c>
      <c r="B507" t="s">
        <v>1349</v>
      </c>
      <c r="C507" t="s">
        <v>207</v>
      </c>
      <c r="D507" t="s">
        <v>618</v>
      </c>
      <c r="E507" t="s">
        <v>1117</v>
      </c>
      <c r="F507" t="s">
        <v>1337</v>
      </c>
      <c r="G507" t="s">
        <v>1338</v>
      </c>
    </row>
    <row r="508" spans="1:7" x14ac:dyDescent="0.35">
      <c r="A508" t="s">
        <v>503</v>
      </c>
      <c r="B508" t="s">
        <v>1350</v>
      </c>
      <c r="C508" t="s">
        <v>207</v>
      </c>
      <c r="D508" t="s">
        <v>618</v>
      </c>
      <c r="E508" t="s">
        <v>1117</v>
      </c>
      <c r="F508" t="s">
        <v>1337</v>
      </c>
      <c r="G508" t="s">
        <v>1338</v>
      </c>
    </row>
    <row r="509" spans="1:7" x14ac:dyDescent="0.35">
      <c r="A509" t="s">
        <v>636</v>
      </c>
      <c r="B509" t="s">
        <v>637</v>
      </c>
      <c r="C509" t="s">
        <v>217</v>
      </c>
      <c r="D509" t="s">
        <v>142</v>
      </c>
      <c r="E509" t="s">
        <v>143</v>
      </c>
      <c r="F509" t="s">
        <v>1104</v>
      </c>
      <c r="G509" t="s">
        <v>1105</v>
      </c>
    </row>
    <row r="510" spans="1:7" x14ac:dyDescent="0.35">
      <c r="A510" t="s">
        <v>636</v>
      </c>
      <c r="B510" t="s">
        <v>638</v>
      </c>
      <c r="C510" t="s">
        <v>141</v>
      </c>
      <c r="D510" t="s">
        <v>142</v>
      </c>
      <c r="E510" t="s">
        <v>149</v>
      </c>
      <c r="F510" t="s">
        <v>1102</v>
      </c>
      <c r="G510" t="s">
        <v>1103</v>
      </c>
    </row>
    <row r="511" spans="1:7" x14ac:dyDescent="0.35">
      <c r="A511" t="s">
        <v>636</v>
      </c>
      <c r="B511" t="s">
        <v>639</v>
      </c>
      <c r="C511" t="s">
        <v>145</v>
      </c>
      <c r="D511" t="s">
        <v>142</v>
      </c>
      <c r="E511" t="s">
        <v>153</v>
      </c>
      <c r="F511" t="s">
        <v>1104</v>
      </c>
      <c r="G511" t="s">
        <v>1351</v>
      </c>
    </row>
    <row r="512" spans="1:7" x14ac:dyDescent="0.35">
      <c r="A512" t="s">
        <v>636</v>
      </c>
      <c r="B512" t="s">
        <v>640</v>
      </c>
      <c r="C512" t="s">
        <v>145</v>
      </c>
      <c r="D512" t="s">
        <v>142</v>
      </c>
      <c r="E512" t="s">
        <v>162</v>
      </c>
      <c r="F512" t="s">
        <v>1104</v>
      </c>
      <c r="G512" t="s">
        <v>1105</v>
      </c>
    </row>
    <row r="513" spans="1:7" x14ac:dyDescent="0.35">
      <c r="A513" t="s">
        <v>636</v>
      </c>
      <c r="B513" t="s">
        <v>641</v>
      </c>
      <c r="C513" t="s">
        <v>145</v>
      </c>
      <c r="D513" t="s">
        <v>142</v>
      </c>
      <c r="E513" t="s">
        <v>162</v>
      </c>
      <c r="F513" t="s">
        <v>1352</v>
      </c>
      <c r="G513" t="s">
        <v>1353</v>
      </c>
    </row>
    <row r="514" spans="1:7" x14ac:dyDescent="0.35">
      <c r="A514" t="s">
        <v>636</v>
      </c>
      <c r="B514" t="s">
        <v>642</v>
      </c>
      <c r="C514" t="s">
        <v>145</v>
      </c>
      <c r="D514" t="s">
        <v>142</v>
      </c>
      <c r="E514" t="s">
        <v>162</v>
      </c>
      <c r="F514" t="s">
        <v>1352</v>
      </c>
      <c r="G514" t="s">
        <v>1353</v>
      </c>
    </row>
    <row r="515" spans="1:7" x14ac:dyDescent="0.35">
      <c r="A515" t="s">
        <v>636</v>
      </c>
      <c r="B515" t="s">
        <v>643</v>
      </c>
      <c r="C515" t="s">
        <v>145</v>
      </c>
      <c r="D515" t="s">
        <v>142</v>
      </c>
      <c r="E515" t="s">
        <v>167</v>
      </c>
      <c r="F515" t="s">
        <v>1352</v>
      </c>
      <c r="G515" t="s">
        <v>1353</v>
      </c>
    </row>
    <row r="516" spans="1:7" x14ac:dyDescent="0.35">
      <c r="A516" t="s">
        <v>636</v>
      </c>
      <c r="B516" t="s">
        <v>644</v>
      </c>
      <c r="C516" t="s">
        <v>145</v>
      </c>
      <c r="D516" t="s">
        <v>142</v>
      </c>
      <c r="E516" t="s">
        <v>167</v>
      </c>
      <c r="F516" t="s">
        <v>1104</v>
      </c>
      <c r="G516" t="s">
        <v>1105</v>
      </c>
    </row>
    <row r="517" spans="1:7" x14ac:dyDescent="0.35">
      <c r="A517" t="s">
        <v>636</v>
      </c>
      <c r="B517" t="s">
        <v>645</v>
      </c>
      <c r="C517" t="s">
        <v>145</v>
      </c>
      <c r="D517" t="s">
        <v>142</v>
      </c>
      <c r="E517" t="s">
        <v>167</v>
      </c>
      <c r="F517" t="s">
        <v>1104</v>
      </c>
      <c r="G517" t="s">
        <v>1105</v>
      </c>
    </row>
    <row r="518" spans="1:7" x14ac:dyDescent="0.35">
      <c r="A518" t="s">
        <v>636</v>
      </c>
      <c r="B518" t="s">
        <v>646</v>
      </c>
      <c r="C518" t="s">
        <v>145</v>
      </c>
      <c r="D518" t="s">
        <v>142</v>
      </c>
      <c r="E518" t="s">
        <v>167</v>
      </c>
      <c r="F518" t="s">
        <v>1110</v>
      </c>
      <c r="G518" t="s">
        <v>1105</v>
      </c>
    </row>
    <row r="519" spans="1:7" x14ac:dyDescent="0.35">
      <c r="A519" t="s">
        <v>636</v>
      </c>
      <c r="B519" t="s">
        <v>647</v>
      </c>
      <c r="C519" t="s">
        <v>145</v>
      </c>
      <c r="D519" t="s">
        <v>142</v>
      </c>
      <c r="E519" t="s">
        <v>170</v>
      </c>
      <c r="F519" t="s">
        <v>1104</v>
      </c>
      <c r="G519" t="s">
        <v>1105</v>
      </c>
    </row>
    <row r="520" spans="1:7" x14ac:dyDescent="0.35">
      <c r="A520" t="s">
        <v>636</v>
      </c>
      <c r="B520" t="s">
        <v>648</v>
      </c>
      <c r="C520" t="s">
        <v>217</v>
      </c>
      <c r="D520" t="s">
        <v>142</v>
      </c>
      <c r="E520" t="s">
        <v>170</v>
      </c>
      <c r="F520" t="s">
        <v>1106</v>
      </c>
      <c r="G520" t="s">
        <v>1107</v>
      </c>
    </row>
    <row r="521" spans="1:7" x14ac:dyDescent="0.35">
      <c r="A521" t="s">
        <v>636</v>
      </c>
      <c r="B521" t="s">
        <v>649</v>
      </c>
      <c r="C521" t="s">
        <v>145</v>
      </c>
      <c r="D521" t="s">
        <v>142</v>
      </c>
      <c r="E521" t="s">
        <v>170</v>
      </c>
      <c r="F521" t="s">
        <v>1104</v>
      </c>
      <c r="G521" t="s">
        <v>1105</v>
      </c>
    </row>
    <row r="522" spans="1:7" x14ac:dyDescent="0.35">
      <c r="A522" t="s">
        <v>636</v>
      </c>
      <c r="B522" t="s">
        <v>650</v>
      </c>
      <c r="C522" t="s">
        <v>145</v>
      </c>
      <c r="D522" t="s">
        <v>142</v>
      </c>
      <c r="E522" t="s">
        <v>173</v>
      </c>
      <c r="F522" t="s">
        <v>1104</v>
      </c>
      <c r="G522" t="s">
        <v>1105</v>
      </c>
    </row>
    <row r="523" spans="1:7" x14ac:dyDescent="0.35">
      <c r="A523" t="s">
        <v>636</v>
      </c>
      <c r="B523" t="s">
        <v>651</v>
      </c>
      <c r="C523" t="s">
        <v>217</v>
      </c>
      <c r="D523" t="s">
        <v>142</v>
      </c>
      <c r="E523" t="s">
        <v>178</v>
      </c>
      <c r="F523" t="s">
        <v>1110</v>
      </c>
      <c r="G523" t="s">
        <v>1105</v>
      </c>
    </row>
    <row r="524" spans="1:7" x14ac:dyDescent="0.35">
      <c r="A524" t="s">
        <v>636</v>
      </c>
      <c r="B524" t="s">
        <v>652</v>
      </c>
      <c r="C524" t="s">
        <v>217</v>
      </c>
      <c r="D524" t="s">
        <v>142</v>
      </c>
      <c r="E524" t="s">
        <v>178</v>
      </c>
      <c r="F524" t="s">
        <v>1104</v>
      </c>
      <c r="G524" t="s">
        <v>1105</v>
      </c>
    </row>
    <row r="525" spans="1:7" x14ac:dyDescent="0.35">
      <c r="A525" t="s">
        <v>636</v>
      </c>
      <c r="B525" t="s">
        <v>653</v>
      </c>
      <c r="C525" t="s">
        <v>145</v>
      </c>
      <c r="D525" t="s">
        <v>142</v>
      </c>
      <c r="E525" t="s">
        <v>183</v>
      </c>
      <c r="F525" t="s">
        <v>1354</v>
      </c>
      <c r="G525" t="s">
        <v>1355</v>
      </c>
    </row>
    <row r="526" spans="1:7" x14ac:dyDescent="0.35">
      <c r="A526" t="s">
        <v>636</v>
      </c>
      <c r="B526" t="s">
        <v>654</v>
      </c>
      <c r="C526" t="s">
        <v>141</v>
      </c>
      <c r="D526" t="s">
        <v>142</v>
      </c>
      <c r="E526" t="s">
        <v>183</v>
      </c>
      <c r="F526" t="s">
        <v>1356</v>
      </c>
      <c r="G526" t="s">
        <v>1357</v>
      </c>
    </row>
    <row r="527" spans="1:7" x14ac:dyDescent="0.35">
      <c r="A527" t="s">
        <v>636</v>
      </c>
      <c r="B527" t="s">
        <v>655</v>
      </c>
      <c r="C527" t="s">
        <v>141</v>
      </c>
      <c r="D527" t="s">
        <v>142</v>
      </c>
      <c r="E527" t="s">
        <v>301</v>
      </c>
      <c r="F527" t="s">
        <v>1106</v>
      </c>
      <c r="G527" t="s">
        <v>1107</v>
      </c>
    </row>
    <row r="528" spans="1:7" x14ac:dyDescent="0.35">
      <c r="A528" t="s">
        <v>636</v>
      </c>
      <c r="B528" t="s">
        <v>656</v>
      </c>
      <c r="C528" t="s">
        <v>141</v>
      </c>
      <c r="D528" t="s">
        <v>142</v>
      </c>
      <c r="E528" t="s">
        <v>301</v>
      </c>
      <c r="F528" t="s">
        <v>1106</v>
      </c>
      <c r="G528" t="s">
        <v>1107</v>
      </c>
    </row>
    <row r="529" spans="1:7" x14ac:dyDescent="0.35">
      <c r="A529" t="s">
        <v>636</v>
      </c>
      <c r="B529" t="s">
        <v>657</v>
      </c>
      <c r="C529" t="s">
        <v>141</v>
      </c>
      <c r="D529" t="s">
        <v>142</v>
      </c>
      <c r="E529" t="s">
        <v>301</v>
      </c>
      <c r="F529" t="s">
        <v>1106</v>
      </c>
      <c r="G529" t="s">
        <v>1107</v>
      </c>
    </row>
    <row r="530" spans="1:7" x14ac:dyDescent="0.35">
      <c r="A530" t="s">
        <v>636</v>
      </c>
      <c r="B530" t="s">
        <v>658</v>
      </c>
      <c r="C530" t="s">
        <v>141</v>
      </c>
      <c r="D530" t="s">
        <v>142</v>
      </c>
      <c r="E530" t="s">
        <v>301</v>
      </c>
      <c r="F530" t="s">
        <v>1106</v>
      </c>
      <c r="G530" t="s">
        <v>1107</v>
      </c>
    </row>
    <row r="531" spans="1:7" x14ac:dyDescent="0.35">
      <c r="A531" t="s">
        <v>636</v>
      </c>
      <c r="B531" t="s">
        <v>659</v>
      </c>
      <c r="C531" t="s">
        <v>141</v>
      </c>
      <c r="D531" t="s">
        <v>142</v>
      </c>
      <c r="E531" t="s">
        <v>301</v>
      </c>
      <c r="F531" t="s">
        <v>1106</v>
      </c>
      <c r="G531" t="s">
        <v>1107</v>
      </c>
    </row>
    <row r="532" spans="1:7" x14ac:dyDescent="0.35">
      <c r="A532" t="s">
        <v>636</v>
      </c>
      <c r="B532" t="s">
        <v>660</v>
      </c>
      <c r="C532" t="s">
        <v>336</v>
      </c>
      <c r="D532" t="s">
        <v>142</v>
      </c>
      <c r="E532" t="s">
        <v>301</v>
      </c>
    </row>
    <row r="533" spans="1:7" x14ac:dyDescent="0.35">
      <c r="A533" t="s">
        <v>636</v>
      </c>
      <c r="B533" t="s">
        <v>661</v>
      </c>
      <c r="C533" t="s">
        <v>141</v>
      </c>
      <c r="D533" t="s">
        <v>142</v>
      </c>
      <c r="E533" t="s">
        <v>301</v>
      </c>
      <c r="F533" t="s">
        <v>1106</v>
      </c>
      <c r="G533" t="s">
        <v>1107</v>
      </c>
    </row>
    <row r="534" spans="1:7" x14ac:dyDescent="0.35">
      <c r="A534" t="s">
        <v>636</v>
      </c>
      <c r="B534" t="s">
        <v>662</v>
      </c>
      <c r="C534" t="s">
        <v>141</v>
      </c>
      <c r="D534" t="s">
        <v>142</v>
      </c>
      <c r="E534" t="s">
        <v>301</v>
      </c>
      <c r="F534" t="s">
        <v>1106</v>
      </c>
      <c r="G534" t="s">
        <v>1107</v>
      </c>
    </row>
    <row r="535" spans="1:7" x14ac:dyDescent="0.35">
      <c r="A535" t="s">
        <v>636</v>
      </c>
      <c r="B535" t="s">
        <v>663</v>
      </c>
      <c r="C535" t="s">
        <v>145</v>
      </c>
      <c r="D535" t="s">
        <v>142</v>
      </c>
      <c r="E535" t="s">
        <v>191</v>
      </c>
      <c r="F535" t="s">
        <v>1104</v>
      </c>
      <c r="G535" t="s">
        <v>1105</v>
      </c>
    </row>
    <row r="536" spans="1:7" x14ac:dyDescent="0.35">
      <c r="A536" t="s">
        <v>636</v>
      </c>
      <c r="B536" t="s">
        <v>664</v>
      </c>
      <c r="C536" t="s">
        <v>145</v>
      </c>
      <c r="D536" t="s">
        <v>142</v>
      </c>
      <c r="E536" t="s">
        <v>191</v>
      </c>
      <c r="F536" t="s">
        <v>1104</v>
      </c>
      <c r="G536" t="s">
        <v>1105</v>
      </c>
    </row>
    <row r="537" spans="1:7" x14ac:dyDescent="0.35">
      <c r="A537" t="s">
        <v>636</v>
      </c>
      <c r="B537" t="s">
        <v>1358</v>
      </c>
      <c r="C537" t="s">
        <v>145</v>
      </c>
      <c r="D537" t="s">
        <v>142</v>
      </c>
      <c r="E537" t="s">
        <v>196</v>
      </c>
      <c r="F537" t="s">
        <v>1110</v>
      </c>
      <c r="G537" t="s">
        <v>1105</v>
      </c>
    </row>
    <row r="538" spans="1:7" x14ac:dyDescent="0.35">
      <c r="A538" t="s">
        <v>636</v>
      </c>
      <c r="B538" t="s">
        <v>1359</v>
      </c>
      <c r="C538" t="s">
        <v>145</v>
      </c>
      <c r="D538" t="s">
        <v>142</v>
      </c>
      <c r="E538" t="s">
        <v>196</v>
      </c>
      <c r="F538" t="s">
        <v>1104</v>
      </c>
      <c r="G538" t="s">
        <v>1351</v>
      </c>
    </row>
    <row r="539" spans="1:7" x14ac:dyDescent="0.35">
      <c r="A539" t="s">
        <v>636</v>
      </c>
      <c r="B539" t="s">
        <v>1360</v>
      </c>
      <c r="C539" t="s">
        <v>141</v>
      </c>
      <c r="D539" t="s">
        <v>142</v>
      </c>
      <c r="E539" t="s">
        <v>1117</v>
      </c>
      <c r="F539" t="s">
        <v>1356</v>
      </c>
      <c r="G539" t="s">
        <v>1357</v>
      </c>
    </row>
    <row r="540" spans="1:7" x14ac:dyDescent="0.35">
      <c r="A540" t="s">
        <v>636</v>
      </c>
      <c r="B540" t="s">
        <v>1361</v>
      </c>
      <c r="C540" t="s">
        <v>141</v>
      </c>
      <c r="D540" t="s">
        <v>142</v>
      </c>
      <c r="E540" t="s">
        <v>1117</v>
      </c>
      <c r="F540" t="s">
        <v>1356</v>
      </c>
      <c r="G540" t="s">
        <v>1357</v>
      </c>
    </row>
    <row r="541" spans="1:7" x14ac:dyDescent="0.35">
      <c r="A541" t="s">
        <v>636</v>
      </c>
      <c r="B541" t="s">
        <v>1362</v>
      </c>
      <c r="C541" t="s">
        <v>145</v>
      </c>
      <c r="D541" t="s">
        <v>142</v>
      </c>
      <c r="E541" t="s">
        <v>1164</v>
      </c>
      <c r="F541" t="s">
        <v>1363</v>
      </c>
      <c r="G541" t="s">
        <v>1364</v>
      </c>
    </row>
    <row r="542" spans="1:7" x14ac:dyDescent="0.35">
      <c r="A542" t="s">
        <v>636</v>
      </c>
      <c r="B542" t="s">
        <v>665</v>
      </c>
      <c r="C542" t="s">
        <v>145</v>
      </c>
      <c r="D542" t="s">
        <v>354</v>
      </c>
      <c r="E542" t="s">
        <v>153</v>
      </c>
      <c r="F542" t="s">
        <v>1365</v>
      </c>
      <c r="G542" t="s">
        <v>1182</v>
      </c>
    </row>
    <row r="543" spans="1:7" x14ac:dyDescent="0.35">
      <c r="A543" t="s">
        <v>636</v>
      </c>
      <c r="B543" t="s">
        <v>666</v>
      </c>
      <c r="C543" t="s">
        <v>145</v>
      </c>
      <c r="D543" t="s">
        <v>354</v>
      </c>
      <c r="E543" t="s">
        <v>162</v>
      </c>
      <c r="F543" t="s">
        <v>1181</v>
      </c>
      <c r="G543" t="s">
        <v>1182</v>
      </c>
    </row>
    <row r="544" spans="1:7" x14ac:dyDescent="0.35">
      <c r="A544" t="s">
        <v>636</v>
      </c>
      <c r="B544" t="s">
        <v>667</v>
      </c>
      <c r="C544" t="s">
        <v>145</v>
      </c>
      <c r="D544" t="s">
        <v>354</v>
      </c>
      <c r="E544" t="s">
        <v>162</v>
      </c>
      <c r="F544" t="s">
        <v>1181</v>
      </c>
      <c r="G544" t="s">
        <v>1182</v>
      </c>
    </row>
    <row r="545" spans="1:7" x14ac:dyDescent="0.35">
      <c r="A545" t="s">
        <v>636</v>
      </c>
      <c r="B545" t="s">
        <v>668</v>
      </c>
      <c r="C545" t="s">
        <v>145</v>
      </c>
      <c r="D545" t="s">
        <v>354</v>
      </c>
      <c r="E545" t="s">
        <v>162</v>
      </c>
      <c r="F545" t="s">
        <v>1181</v>
      </c>
      <c r="G545" t="s">
        <v>1182</v>
      </c>
    </row>
    <row r="546" spans="1:7" x14ac:dyDescent="0.35">
      <c r="A546" t="s">
        <v>636</v>
      </c>
      <c r="B546" t="s">
        <v>669</v>
      </c>
      <c r="C546" t="s">
        <v>145</v>
      </c>
      <c r="D546" t="s">
        <v>354</v>
      </c>
      <c r="E546" t="s">
        <v>162</v>
      </c>
      <c r="F546" t="s">
        <v>1181</v>
      </c>
      <c r="G546" t="s">
        <v>1182</v>
      </c>
    </row>
    <row r="547" spans="1:7" x14ac:dyDescent="0.35">
      <c r="A547" t="s">
        <v>636</v>
      </c>
      <c r="B547" t="s">
        <v>670</v>
      </c>
      <c r="C547" t="s">
        <v>145</v>
      </c>
      <c r="D547" t="s">
        <v>354</v>
      </c>
      <c r="E547" t="s">
        <v>162</v>
      </c>
      <c r="F547" t="s">
        <v>1181</v>
      </c>
      <c r="G547" t="s">
        <v>1182</v>
      </c>
    </row>
    <row r="548" spans="1:7" x14ac:dyDescent="0.35">
      <c r="A548" t="s">
        <v>636</v>
      </c>
      <c r="B548" t="s">
        <v>671</v>
      </c>
      <c r="C548" t="s">
        <v>145</v>
      </c>
      <c r="D548" t="s">
        <v>354</v>
      </c>
      <c r="E548" t="s">
        <v>162</v>
      </c>
      <c r="F548" t="s">
        <v>1181</v>
      </c>
      <c r="G548" t="s">
        <v>1182</v>
      </c>
    </row>
    <row r="549" spans="1:7" x14ac:dyDescent="0.35">
      <c r="A549" t="s">
        <v>636</v>
      </c>
      <c r="B549" t="s">
        <v>672</v>
      </c>
      <c r="C549" t="s">
        <v>145</v>
      </c>
      <c r="D549" t="s">
        <v>354</v>
      </c>
      <c r="E549" t="s">
        <v>167</v>
      </c>
      <c r="F549" t="s">
        <v>1181</v>
      </c>
      <c r="G549" t="s">
        <v>1182</v>
      </c>
    </row>
    <row r="550" spans="1:7" x14ac:dyDescent="0.35">
      <c r="A550" t="s">
        <v>636</v>
      </c>
      <c r="B550" t="s">
        <v>673</v>
      </c>
      <c r="C550" t="s">
        <v>145</v>
      </c>
      <c r="D550" t="s">
        <v>354</v>
      </c>
      <c r="E550" t="s">
        <v>183</v>
      </c>
      <c r="F550" t="s">
        <v>1365</v>
      </c>
      <c r="G550" t="s">
        <v>1182</v>
      </c>
    </row>
    <row r="551" spans="1:7" x14ac:dyDescent="0.35">
      <c r="A551" t="s">
        <v>636</v>
      </c>
      <c r="B551" t="s">
        <v>674</v>
      </c>
      <c r="C551" t="s">
        <v>145</v>
      </c>
      <c r="D551" t="s">
        <v>354</v>
      </c>
      <c r="E551" t="s">
        <v>196</v>
      </c>
      <c r="F551" t="s">
        <v>1365</v>
      </c>
      <c r="G551" t="s">
        <v>1182</v>
      </c>
    </row>
    <row r="552" spans="1:7" x14ac:dyDescent="0.35">
      <c r="A552" t="s">
        <v>636</v>
      </c>
      <c r="B552" t="s">
        <v>1366</v>
      </c>
      <c r="C552" t="s">
        <v>141</v>
      </c>
      <c r="D552" t="s">
        <v>354</v>
      </c>
      <c r="E552" t="s">
        <v>196</v>
      </c>
      <c r="F552" t="s">
        <v>1367</v>
      </c>
      <c r="G552" t="s">
        <v>1368</v>
      </c>
    </row>
    <row r="553" spans="1:7" x14ac:dyDescent="0.35">
      <c r="A553" t="s">
        <v>636</v>
      </c>
      <c r="B553" t="s">
        <v>675</v>
      </c>
      <c r="C553" t="s">
        <v>239</v>
      </c>
      <c r="D553" t="s">
        <v>361</v>
      </c>
      <c r="E553" t="s">
        <v>156</v>
      </c>
      <c r="F553" t="s">
        <v>1369</v>
      </c>
      <c r="G553" t="s">
        <v>1370</v>
      </c>
    </row>
    <row r="554" spans="1:7" x14ac:dyDescent="0.35">
      <c r="A554" t="s">
        <v>636</v>
      </c>
      <c r="B554" t="s">
        <v>676</v>
      </c>
      <c r="C554" t="s">
        <v>145</v>
      </c>
      <c r="D554" t="s">
        <v>361</v>
      </c>
      <c r="E554" t="s">
        <v>162</v>
      </c>
      <c r="F554" t="s">
        <v>1371</v>
      </c>
      <c r="G554" t="s">
        <v>1372</v>
      </c>
    </row>
    <row r="555" spans="1:7" x14ac:dyDescent="0.35">
      <c r="A555" t="s">
        <v>636</v>
      </c>
      <c r="B555" t="s">
        <v>677</v>
      </c>
      <c r="C555" t="s">
        <v>145</v>
      </c>
      <c r="D555" t="s">
        <v>361</v>
      </c>
      <c r="E555" t="s">
        <v>183</v>
      </c>
      <c r="F555" t="s">
        <v>1371</v>
      </c>
      <c r="G555" t="s">
        <v>1372</v>
      </c>
    </row>
    <row r="556" spans="1:7" x14ac:dyDescent="0.35">
      <c r="A556" t="s">
        <v>636</v>
      </c>
      <c r="B556" t="s">
        <v>678</v>
      </c>
      <c r="C556" t="s">
        <v>141</v>
      </c>
      <c r="D556" t="s">
        <v>361</v>
      </c>
      <c r="E556" t="s">
        <v>196</v>
      </c>
      <c r="F556" t="s">
        <v>1194</v>
      </c>
      <c r="G556" t="s">
        <v>1195</v>
      </c>
    </row>
    <row r="557" spans="1:7" x14ac:dyDescent="0.35">
      <c r="A557" t="s">
        <v>636</v>
      </c>
      <c r="B557" t="s">
        <v>679</v>
      </c>
      <c r="C557" t="s">
        <v>145</v>
      </c>
      <c r="D557" t="s">
        <v>505</v>
      </c>
      <c r="E557" t="s">
        <v>214</v>
      </c>
      <c r="F557" t="s">
        <v>1283</v>
      </c>
      <c r="G557" t="s">
        <v>1284</v>
      </c>
    </row>
    <row r="558" spans="1:7" x14ac:dyDescent="0.35">
      <c r="A558" t="s">
        <v>636</v>
      </c>
      <c r="B558" t="s">
        <v>680</v>
      </c>
      <c r="C558" t="s">
        <v>207</v>
      </c>
      <c r="D558" t="s">
        <v>505</v>
      </c>
      <c r="E558" t="s">
        <v>153</v>
      </c>
      <c r="F558" t="s">
        <v>1281</v>
      </c>
      <c r="G558" t="s">
        <v>1282</v>
      </c>
    </row>
    <row r="559" spans="1:7" x14ac:dyDescent="0.35">
      <c r="A559" t="s">
        <v>636</v>
      </c>
      <c r="B559" t="s">
        <v>681</v>
      </c>
      <c r="C559" t="s">
        <v>145</v>
      </c>
      <c r="D559" t="s">
        <v>505</v>
      </c>
      <c r="E559" t="s">
        <v>156</v>
      </c>
      <c r="F559" t="s">
        <v>1281</v>
      </c>
      <c r="G559" t="s">
        <v>1282</v>
      </c>
    </row>
    <row r="560" spans="1:7" x14ac:dyDescent="0.35">
      <c r="A560" t="s">
        <v>636</v>
      </c>
      <c r="B560" t="s">
        <v>682</v>
      </c>
      <c r="C560" t="s">
        <v>145</v>
      </c>
      <c r="D560" t="s">
        <v>505</v>
      </c>
      <c r="E560" t="s">
        <v>162</v>
      </c>
      <c r="F560" t="s">
        <v>1373</v>
      </c>
      <c r="G560" t="s">
        <v>1374</v>
      </c>
    </row>
    <row r="561" spans="1:7" x14ac:dyDescent="0.35">
      <c r="A561" t="s">
        <v>636</v>
      </c>
      <c r="B561" t="s">
        <v>683</v>
      </c>
      <c r="C561" t="s">
        <v>145</v>
      </c>
      <c r="D561" t="s">
        <v>505</v>
      </c>
      <c r="E561" t="s">
        <v>162</v>
      </c>
      <c r="F561" t="s">
        <v>1283</v>
      </c>
      <c r="G561" t="s">
        <v>1284</v>
      </c>
    </row>
    <row r="562" spans="1:7" x14ac:dyDescent="0.35">
      <c r="A562" t="s">
        <v>636</v>
      </c>
      <c r="B562" t="s">
        <v>684</v>
      </c>
      <c r="C562" t="s">
        <v>207</v>
      </c>
      <c r="D562" t="s">
        <v>505</v>
      </c>
      <c r="E562" t="s">
        <v>165</v>
      </c>
      <c r="F562" t="s">
        <v>1281</v>
      </c>
      <c r="G562" t="s">
        <v>1282</v>
      </c>
    </row>
    <row r="563" spans="1:7" x14ac:dyDescent="0.35">
      <c r="A563" t="s">
        <v>636</v>
      </c>
      <c r="B563" t="s">
        <v>685</v>
      </c>
      <c r="C563" t="s">
        <v>145</v>
      </c>
      <c r="D563" t="s">
        <v>505</v>
      </c>
      <c r="E563" t="s">
        <v>170</v>
      </c>
      <c r="F563" t="s">
        <v>1283</v>
      </c>
      <c r="G563" t="s">
        <v>1284</v>
      </c>
    </row>
    <row r="564" spans="1:7" x14ac:dyDescent="0.35">
      <c r="A564" t="s">
        <v>636</v>
      </c>
      <c r="B564" t="s">
        <v>686</v>
      </c>
      <c r="C564" t="s">
        <v>145</v>
      </c>
      <c r="D564" t="s">
        <v>505</v>
      </c>
      <c r="E564" t="s">
        <v>183</v>
      </c>
      <c r="F564" t="s">
        <v>1373</v>
      </c>
      <c r="G564" t="s">
        <v>1374</v>
      </c>
    </row>
    <row r="565" spans="1:7" x14ac:dyDescent="0.35">
      <c r="A565" t="s">
        <v>636</v>
      </c>
      <c r="B565" t="s">
        <v>1375</v>
      </c>
      <c r="C565" t="s">
        <v>145</v>
      </c>
      <c r="D565" t="s">
        <v>505</v>
      </c>
      <c r="E565" t="s">
        <v>196</v>
      </c>
      <c r="F565" t="s">
        <v>1373</v>
      </c>
      <c r="G565" t="s">
        <v>1374</v>
      </c>
    </row>
    <row r="566" spans="1:7" x14ac:dyDescent="0.35">
      <c r="A566" t="s">
        <v>636</v>
      </c>
      <c r="B566" t="s">
        <v>1376</v>
      </c>
      <c r="C566" t="s">
        <v>207</v>
      </c>
      <c r="D566" t="s">
        <v>505</v>
      </c>
      <c r="E566" t="s">
        <v>1117</v>
      </c>
      <c r="F566" t="s">
        <v>1281</v>
      </c>
      <c r="G566" t="s">
        <v>1282</v>
      </c>
    </row>
    <row r="567" spans="1:7" x14ac:dyDescent="0.35">
      <c r="A567" t="s">
        <v>636</v>
      </c>
      <c r="B567" t="s">
        <v>1377</v>
      </c>
      <c r="C567" t="s">
        <v>145</v>
      </c>
      <c r="D567" t="s">
        <v>505</v>
      </c>
      <c r="E567" t="s">
        <v>1117</v>
      </c>
      <c r="F567" t="s">
        <v>1281</v>
      </c>
      <c r="G567" t="s">
        <v>1282</v>
      </c>
    </row>
    <row r="568" spans="1:7" x14ac:dyDescent="0.35">
      <c r="A568" t="s">
        <v>636</v>
      </c>
      <c r="B568" t="s">
        <v>687</v>
      </c>
      <c r="C568" t="s">
        <v>145</v>
      </c>
      <c r="D568" t="s">
        <v>505</v>
      </c>
      <c r="E568" t="s">
        <v>143</v>
      </c>
    </row>
    <row r="569" spans="1:7" x14ac:dyDescent="0.35">
      <c r="A569" t="s">
        <v>636</v>
      </c>
      <c r="B569" t="s">
        <v>688</v>
      </c>
      <c r="C569" t="s">
        <v>141</v>
      </c>
      <c r="D569" t="s">
        <v>689</v>
      </c>
      <c r="E569" t="s">
        <v>143</v>
      </c>
      <c r="F569" t="s">
        <v>1378</v>
      </c>
      <c r="G569" t="s">
        <v>1379</v>
      </c>
    </row>
    <row r="570" spans="1:7" x14ac:dyDescent="0.35">
      <c r="A570" t="s">
        <v>636</v>
      </c>
      <c r="B570" t="s">
        <v>690</v>
      </c>
      <c r="C570" t="s">
        <v>141</v>
      </c>
      <c r="D570" t="s">
        <v>689</v>
      </c>
      <c r="E570" t="s">
        <v>149</v>
      </c>
      <c r="F570" t="s">
        <v>1378</v>
      </c>
      <c r="G570" t="s">
        <v>1379</v>
      </c>
    </row>
    <row r="571" spans="1:7" x14ac:dyDescent="0.35">
      <c r="A571" t="s">
        <v>636</v>
      </c>
      <c r="B571" t="s">
        <v>691</v>
      </c>
      <c r="C571" t="s">
        <v>145</v>
      </c>
      <c r="D571" t="s">
        <v>689</v>
      </c>
      <c r="E571" t="s">
        <v>178</v>
      </c>
      <c r="F571" t="s">
        <v>1378</v>
      </c>
      <c r="G571" t="s">
        <v>1379</v>
      </c>
    </row>
    <row r="572" spans="1:7" x14ac:dyDescent="0.35">
      <c r="A572" t="s">
        <v>636</v>
      </c>
      <c r="B572" t="s">
        <v>692</v>
      </c>
      <c r="C572" t="s">
        <v>693</v>
      </c>
      <c r="D572" t="s">
        <v>689</v>
      </c>
      <c r="E572" t="s">
        <v>162</v>
      </c>
      <c r="F572" t="s">
        <v>1378</v>
      </c>
      <c r="G572" t="s">
        <v>1379</v>
      </c>
    </row>
    <row r="573" spans="1:7" x14ac:dyDescent="0.35">
      <c r="A573" t="s">
        <v>636</v>
      </c>
      <c r="B573" t="s">
        <v>694</v>
      </c>
      <c r="C573" t="s">
        <v>145</v>
      </c>
      <c r="D573" t="s">
        <v>513</v>
      </c>
      <c r="E573" t="s">
        <v>143</v>
      </c>
      <c r="F573" t="s">
        <v>1289</v>
      </c>
      <c r="G573" t="s">
        <v>1290</v>
      </c>
    </row>
    <row r="574" spans="1:7" x14ac:dyDescent="0.35">
      <c r="A574" t="s">
        <v>636</v>
      </c>
      <c r="B574" t="s">
        <v>695</v>
      </c>
      <c r="C574" t="s">
        <v>145</v>
      </c>
      <c r="D574" t="s">
        <v>513</v>
      </c>
      <c r="E574" t="s">
        <v>149</v>
      </c>
      <c r="F574" t="s">
        <v>1289</v>
      </c>
      <c r="G574" t="s">
        <v>1290</v>
      </c>
    </row>
    <row r="575" spans="1:7" x14ac:dyDescent="0.35">
      <c r="A575" t="s">
        <v>636</v>
      </c>
      <c r="B575" t="s">
        <v>696</v>
      </c>
      <c r="C575" t="s">
        <v>145</v>
      </c>
      <c r="D575" t="s">
        <v>513</v>
      </c>
      <c r="E575" t="s">
        <v>153</v>
      </c>
      <c r="F575" t="s">
        <v>1289</v>
      </c>
      <c r="G575" t="s">
        <v>1290</v>
      </c>
    </row>
    <row r="576" spans="1:7" x14ac:dyDescent="0.35">
      <c r="A576" t="s">
        <v>636</v>
      </c>
      <c r="B576" t="s">
        <v>697</v>
      </c>
      <c r="C576" t="s">
        <v>145</v>
      </c>
      <c r="D576" t="s">
        <v>513</v>
      </c>
      <c r="E576" t="s">
        <v>153</v>
      </c>
      <c r="F576" t="s">
        <v>1289</v>
      </c>
      <c r="G576" t="s">
        <v>1290</v>
      </c>
    </row>
    <row r="577" spans="1:7" x14ac:dyDescent="0.35">
      <c r="A577" t="s">
        <v>636</v>
      </c>
      <c r="B577" t="s">
        <v>698</v>
      </c>
      <c r="C577" t="s">
        <v>145</v>
      </c>
      <c r="D577" t="s">
        <v>513</v>
      </c>
      <c r="E577" t="s">
        <v>153</v>
      </c>
      <c r="F577" t="s">
        <v>1289</v>
      </c>
      <c r="G577" t="s">
        <v>1290</v>
      </c>
    </row>
    <row r="578" spans="1:7" x14ac:dyDescent="0.35">
      <c r="A578" t="s">
        <v>636</v>
      </c>
      <c r="B578" t="s">
        <v>699</v>
      </c>
      <c r="C578" t="s">
        <v>145</v>
      </c>
      <c r="D578" t="s">
        <v>513</v>
      </c>
      <c r="E578" t="s">
        <v>153</v>
      </c>
      <c r="F578" t="s">
        <v>1289</v>
      </c>
      <c r="G578" t="s">
        <v>1290</v>
      </c>
    </row>
    <row r="579" spans="1:7" x14ac:dyDescent="0.35">
      <c r="A579" t="s">
        <v>636</v>
      </c>
      <c r="B579" t="s">
        <v>700</v>
      </c>
      <c r="C579" t="s">
        <v>145</v>
      </c>
      <c r="D579" t="s">
        <v>513</v>
      </c>
      <c r="E579" t="s">
        <v>156</v>
      </c>
      <c r="F579" t="s">
        <v>1289</v>
      </c>
      <c r="G579" t="s">
        <v>1290</v>
      </c>
    </row>
    <row r="580" spans="1:7" x14ac:dyDescent="0.35">
      <c r="A580" t="s">
        <v>636</v>
      </c>
      <c r="B580" t="s">
        <v>701</v>
      </c>
      <c r="C580" t="s">
        <v>141</v>
      </c>
      <c r="D580" t="s">
        <v>513</v>
      </c>
      <c r="E580" t="s">
        <v>173</v>
      </c>
      <c r="F580" t="s">
        <v>1313</v>
      </c>
      <c r="G580" t="s">
        <v>1310</v>
      </c>
    </row>
    <row r="581" spans="1:7" x14ac:dyDescent="0.35">
      <c r="A581" t="s">
        <v>636</v>
      </c>
      <c r="B581" t="s">
        <v>702</v>
      </c>
      <c r="C581" t="s">
        <v>145</v>
      </c>
      <c r="D581" t="s">
        <v>513</v>
      </c>
      <c r="E581" t="s">
        <v>178</v>
      </c>
      <c r="F581" t="s">
        <v>1380</v>
      </c>
      <c r="G581" t="s">
        <v>1381</v>
      </c>
    </row>
    <row r="582" spans="1:7" x14ac:dyDescent="0.35">
      <c r="A582" t="s">
        <v>636</v>
      </c>
      <c r="B582" t="s">
        <v>703</v>
      </c>
      <c r="C582" t="s">
        <v>207</v>
      </c>
      <c r="D582" t="s">
        <v>513</v>
      </c>
      <c r="E582" t="s">
        <v>183</v>
      </c>
      <c r="F582" t="s">
        <v>1296</v>
      </c>
      <c r="G582" t="s">
        <v>1382</v>
      </c>
    </row>
    <row r="583" spans="1:7" x14ac:dyDescent="0.35">
      <c r="A583" t="s">
        <v>636</v>
      </c>
      <c r="B583" t="s">
        <v>704</v>
      </c>
      <c r="C583" t="s">
        <v>145</v>
      </c>
      <c r="D583" t="s">
        <v>513</v>
      </c>
      <c r="E583" t="s">
        <v>191</v>
      </c>
      <c r="F583" t="s">
        <v>1383</v>
      </c>
      <c r="G583" t="s">
        <v>1384</v>
      </c>
    </row>
    <row r="584" spans="1:7" x14ac:dyDescent="0.35">
      <c r="A584" t="s">
        <v>636</v>
      </c>
      <c r="B584" t="s">
        <v>1385</v>
      </c>
      <c r="C584" t="s">
        <v>145</v>
      </c>
      <c r="D584" t="s">
        <v>513</v>
      </c>
      <c r="E584" t="s">
        <v>196</v>
      </c>
      <c r="F584" t="s">
        <v>1380</v>
      </c>
      <c r="G584" t="s">
        <v>1381</v>
      </c>
    </row>
    <row r="585" spans="1:7" x14ac:dyDescent="0.35">
      <c r="A585" t="s">
        <v>636</v>
      </c>
      <c r="B585" t="s">
        <v>1386</v>
      </c>
      <c r="C585" t="s">
        <v>145</v>
      </c>
      <c r="D585" t="s">
        <v>513</v>
      </c>
      <c r="E585" t="s">
        <v>1117</v>
      </c>
      <c r="F585" t="s">
        <v>1289</v>
      </c>
      <c r="G585" t="s">
        <v>1290</v>
      </c>
    </row>
    <row r="586" spans="1:7" x14ac:dyDescent="0.35">
      <c r="A586" t="s">
        <v>636</v>
      </c>
      <c r="B586" t="s">
        <v>705</v>
      </c>
      <c r="C586" t="s">
        <v>145</v>
      </c>
      <c r="D586" t="s">
        <v>706</v>
      </c>
      <c r="E586" t="s">
        <v>170</v>
      </c>
      <c r="F586" t="s">
        <v>1387</v>
      </c>
      <c r="G586" t="s">
        <v>1388</v>
      </c>
    </row>
    <row r="587" spans="1:7" x14ac:dyDescent="0.35">
      <c r="A587" t="s">
        <v>636</v>
      </c>
      <c r="B587" t="s">
        <v>707</v>
      </c>
      <c r="C587" t="s">
        <v>141</v>
      </c>
      <c r="D587" t="s">
        <v>369</v>
      </c>
      <c r="E587" t="s">
        <v>214</v>
      </c>
      <c r="F587" t="s">
        <v>1389</v>
      </c>
      <c r="G587" t="s">
        <v>1390</v>
      </c>
    </row>
    <row r="588" spans="1:7" x14ac:dyDescent="0.35">
      <c r="A588" t="s">
        <v>636</v>
      </c>
      <c r="B588" t="s">
        <v>708</v>
      </c>
      <c r="C588" t="s">
        <v>145</v>
      </c>
      <c r="D588" t="s">
        <v>369</v>
      </c>
      <c r="E588" t="s">
        <v>143</v>
      </c>
      <c r="F588" t="s">
        <v>1391</v>
      </c>
      <c r="G588" t="s">
        <v>1392</v>
      </c>
    </row>
    <row r="589" spans="1:7" x14ac:dyDescent="0.35">
      <c r="A589" t="s">
        <v>636</v>
      </c>
      <c r="B589" t="s">
        <v>709</v>
      </c>
      <c r="C589" t="s">
        <v>207</v>
      </c>
      <c r="D589" t="s">
        <v>369</v>
      </c>
      <c r="E589" t="s">
        <v>143</v>
      </c>
      <c r="F589" t="s">
        <v>1219</v>
      </c>
      <c r="G589" t="s">
        <v>1220</v>
      </c>
    </row>
    <row r="590" spans="1:7" x14ac:dyDescent="0.35">
      <c r="A590" t="s">
        <v>636</v>
      </c>
      <c r="B590" t="s">
        <v>710</v>
      </c>
      <c r="C590" t="s">
        <v>141</v>
      </c>
      <c r="D590" t="s">
        <v>369</v>
      </c>
      <c r="E590" t="s">
        <v>143</v>
      </c>
      <c r="F590" t="s">
        <v>1393</v>
      </c>
      <c r="G590" t="s">
        <v>1394</v>
      </c>
    </row>
    <row r="591" spans="1:7" x14ac:dyDescent="0.35">
      <c r="A591" t="s">
        <v>636</v>
      </c>
      <c r="B591" t="s">
        <v>711</v>
      </c>
      <c r="C591" t="s">
        <v>217</v>
      </c>
      <c r="D591" t="s">
        <v>369</v>
      </c>
      <c r="E591" t="s">
        <v>143</v>
      </c>
      <c r="F591" t="s">
        <v>1395</v>
      </c>
      <c r="G591" t="s">
        <v>1396</v>
      </c>
    </row>
    <row r="592" spans="1:7" x14ac:dyDescent="0.35">
      <c r="A592" t="s">
        <v>636</v>
      </c>
      <c r="B592" t="s">
        <v>712</v>
      </c>
      <c r="C592" t="s">
        <v>141</v>
      </c>
      <c r="D592" t="s">
        <v>369</v>
      </c>
      <c r="E592" t="s">
        <v>143</v>
      </c>
      <c r="F592" t="s">
        <v>1219</v>
      </c>
      <c r="G592" t="s">
        <v>1220</v>
      </c>
    </row>
    <row r="593" spans="1:7" x14ac:dyDescent="0.35">
      <c r="A593" t="s">
        <v>636</v>
      </c>
      <c r="B593" t="s">
        <v>713</v>
      </c>
      <c r="C593" t="s">
        <v>145</v>
      </c>
      <c r="D593" t="s">
        <v>369</v>
      </c>
      <c r="E593" t="s">
        <v>143</v>
      </c>
      <c r="F593" t="s">
        <v>1391</v>
      </c>
      <c r="G593" t="s">
        <v>1392</v>
      </c>
    </row>
    <row r="594" spans="1:7" x14ac:dyDescent="0.35">
      <c r="A594" t="s">
        <v>636</v>
      </c>
      <c r="B594" t="s">
        <v>714</v>
      </c>
      <c r="C594" t="s">
        <v>145</v>
      </c>
      <c r="D594" t="s">
        <v>369</v>
      </c>
      <c r="E594" t="s">
        <v>143</v>
      </c>
      <c r="F594" t="s">
        <v>1397</v>
      </c>
      <c r="G594" t="s">
        <v>1398</v>
      </c>
    </row>
    <row r="595" spans="1:7" x14ac:dyDescent="0.35">
      <c r="A595" t="s">
        <v>636</v>
      </c>
      <c r="B595" t="s">
        <v>715</v>
      </c>
      <c r="C595" t="s">
        <v>239</v>
      </c>
      <c r="D595" t="s">
        <v>369</v>
      </c>
      <c r="E595" t="s">
        <v>143</v>
      </c>
      <c r="F595" t="s">
        <v>1399</v>
      </c>
      <c r="G595" t="s">
        <v>1400</v>
      </c>
    </row>
    <row r="596" spans="1:7" x14ac:dyDescent="0.35">
      <c r="A596" t="s">
        <v>636</v>
      </c>
      <c r="B596" t="s">
        <v>716</v>
      </c>
      <c r="C596" t="s">
        <v>207</v>
      </c>
      <c r="D596" t="s">
        <v>369</v>
      </c>
      <c r="E596" t="s">
        <v>143</v>
      </c>
      <c r="F596" t="s">
        <v>1201</v>
      </c>
      <c r="G596" t="s">
        <v>1202</v>
      </c>
    </row>
    <row r="597" spans="1:7" x14ac:dyDescent="0.35">
      <c r="A597" t="s">
        <v>636</v>
      </c>
      <c r="B597" t="s">
        <v>717</v>
      </c>
      <c r="C597" t="s">
        <v>145</v>
      </c>
      <c r="D597" t="s">
        <v>369</v>
      </c>
      <c r="E597" t="s">
        <v>149</v>
      </c>
      <c r="F597" t="s">
        <v>1401</v>
      </c>
      <c r="G597" t="s">
        <v>1402</v>
      </c>
    </row>
    <row r="598" spans="1:7" x14ac:dyDescent="0.35">
      <c r="A598" t="s">
        <v>636</v>
      </c>
      <c r="B598" t="s">
        <v>718</v>
      </c>
      <c r="C598" t="s">
        <v>145</v>
      </c>
      <c r="D598" t="s">
        <v>369</v>
      </c>
      <c r="E598" t="s">
        <v>149</v>
      </c>
      <c r="F598" t="s">
        <v>1401</v>
      </c>
      <c r="G598" t="s">
        <v>1402</v>
      </c>
    </row>
    <row r="599" spans="1:7" x14ac:dyDescent="0.35">
      <c r="A599" t="s">
        <v>636</v>
      </c>
      <c r="B599" t="s">
        <v>719</v>
      </c>
      <c r="C599" t="s">
        <v>141</v>
      </c>
      <c r="D599" t="s">
        <v>369</v>
      </c>
      <c r="E599" t="s">
        <v>149</v>
      </c>
      <c r="F599" t="s">
        <v>1403</v>
      </c>
      <c r="G599" t="s">
        <v>1404</v>
      </c>
    </row>
    <row r="600" spans="1:7" x14ac:dyDescent="0.35">
      <c r="A600" t="s">
        <v>636</v>
      </c>
      <c r="B600" t="s">
        <v>720</v>
      </c>
      <c r="C600" t="s">
        <v>207</v>
      </c>
      <c r="D600" t="s">
        <v>369</v>
      </c>
      <c r="E600" t="s">
        <v>149</v>
      </c>
      <c r="F600" t="s">
        <v>1391</v>
      </c>
      <c r="G600" t="s">
        <v>1392</v>
      </c>
    </row>
    <row r="601" spans="1:7" x14ac:dyDescent="0.35">
      <c r="A601" t="s">
        <v>636</v>
      </c>
      <c r="B601" t="s">
        <v>721</v>
      </c>
      <c r="C601" t="s">
        <v>217</v>
      </c>
      <c r="D601" t="s">
        <v>369</v>
      </c>
      <c r="E601" t="s">
        <v>149</v>
      </c>
      <c r="F601" t="s">
        <v>1405</v>
      </c>
      <c r="G601" t="s">
        <v>1406</v>
      </c>
    </row>
    <row r="602" spans="1:7" x14ac:dyDescent="0.35">
      <c r="A602" t="s">
        <v>636</v>
      </c>
      <c r="B602" t="s">
        <v>722</v>
      </c>
      <c r="C602" t="s">
        <v>207</v>
      </c>
      <c r="D602" t="s">
        <v>369</v>
      </c>
      <c r="E602" t="s">
        <v>149</v>
      </c>
      <c r="F602" t="s">
        <v>1407</v>
      </c>
      <c r="G602" t="s">
        <v>1408</v>
      </c>
    </row>
    <row r="603" spans="1:7" x14ac:dyDescent="0.35">
      <c r="A603" t="s">
        <v>636</v>
      </c>
      <c r="B603" t="s">
        <v>723</v>
      </c>
      <c r="C603" t="s">
        <v>145</v>
      </c>
      <c r="D603" t="s">
        <v>369</v>
      </c>
      <c r="E603" t="s">
        <v>149</v>
      </c>
      <c r="F603" t="s">
        <v>1401</v>
      </c>
      <c r="G603" t="s">
        <v>1402</v>
      </c>
    </row>
    <row r="604" spans="1:7" x14ac:dyDescent="0.35">
      <c r="A604" t="s">
        <v>636</v>
      </c>
      <c r="B604" t="s">
        <v>724</v>
      </c>
      <c r="C604" t="s">
        <v>145</v>
      </c>
      <c r="D604" t="s">
        <v>369</v>
      </c>
      <c r="E604" t="s">
        <v>149</v>
      </c>
      <c r="F604" t="s">
        <v>1207</v>
      </c>
      <c r="G604" t="s">
        <v>1208</v>
      </c>
    </row>
    <row r="605" spans="1:7" x14ac:dyDescent="0.35">
      <c r="A605" t="s">
        <v>636</v>
      </c>
      <c r="B605" t="s">
        <v>725</v>
      </c>
      <c r="C605" t="s">
        <v>145</v>
      </c>
      <c r="D605" t="s">
        <v>369</v>
      </c>
      <c r="E605" t="s">
        <v>149</v>
      </c>
      <c r="F605" t="s">
        <v>1409</v>
      </c>
      <c r="G605" t="s">
        <v>1223</v>
      </c>
    </row>
    <row r="606" spans="1:7" x14ac:dyDescent="0.35">
      <c r="A606" t="s">
        <v>636</v>
      </c>
      <c r="B606" t="s">
        <v>726</v>
      </c>
      <c r="C606" t="s">
        <v>141</v>
      </c>
      <c r="D606" t="s">
        <v>369</v>
      </c>
      <c r="E606" t="s">
        <v>153</v>
      </c>
      <c r="F606" t="s">
        <v>1219</v>
      </c>
      <c r="G606" t="s">
        <v>1220</v>
      </c>
    </row>
    <row r="607" spans="1:7" x14ac:dyDescent="0.35">
      <c r="A607" t="s">
        <v>636</v>
      </c>
      <c r="B607" t="s">
        <v>727</v>
      </c>
      <c r="C607" t="s">
        <v>207</v>
      </c>
      <c r="D607" t="s">
        <v>369</v>
      </c>
      <c r="E607" t="s">
        <v>153</v>
      </c>
      <c r="F607" t="s">
        <v>1403</v>
      </c>
      <c r="G607" t="s">
        <v>1404</v>
      </c>
    </row>
    <row r="608" spans="1:7" x14ac:dyDescent="0.35">
      <c r="A608" t="s">
        <v>636</v>
      </c>
      <c r="B608" t="s">
        <v>728</v>
      </c>
      <c r="C608" t="s">
        <v>207</v>
      </c>
      <c r="D608" t="s">
        <v>369</v>
      </c>
      <c r="E608" t="s">
        <v>153</v>
      </c>
      <c r="F608" t="s">
        <v>1403</v>
      </c>
      <c r="G608" t="s">
        <v>1404</v>
      </c>
    </row>
    <row r="609" spans="1:7" x14ac:dyDescent="0.35">
      <c r="A609" t="s">
        <v>636</v>
      </c>
      <c r="B609" t="s">
        <v>729</v>
      </c>
      <c r="C609" t="s">
        <v>145</v>
      </c>
      <c r="D609" t="s">
        <v>369</v>
      </c>
      <c r="E609" t="s">
        <v>153</v>
      </c>
      <c r="F609" t="s">
        <v>1409</v>
      </c>
      <c r="G609" t="s">
        <v>1223</v>
      </c>
    </row>
    <row r="610" spans="1:7" x14ac:dyDescent="0.35">
      <c r="A610" t="s">
        <v>636</v>
      </c>
      <c r="B610" t="s">
        <v>730</v>
      </c>
      <c r="C610" t="s">
        <v>217</v>
      </c>
      <c r="D610" t="s">
        <v>369</v>
      </c>
      <c r="E610" t="s">
        <v>153</v>
      </c>
      <c r="F610" t="s">
        <v>1214</v>
      </c>
      <c r="G610" t="s">
        <v>1215</v>
      </c>
    </row>
    <row r="611" spans="1:7" x14ac:dyDescent="0.35">
      <c r="A611" t="s">
        <v>636</v>
      </c>
      <c r="B611" t="s">
        <v>731</v>
      </c>
      <c r="C611" t="s">
        <v>207</v>
      </c>
      <c r="D611" t="s">
        <v>369</v>
      </c>
      <c r="E611" t="s">
        <v>153</v>
      </c>
      <c r="F611" t="s">
        <v>1410</v>
      </c>
      <c r="G611" t="s">
        <v>1402</v>
      </c>
    </row>
    <row r="612" spans="1:7" x14ac:dyDescent="0.35">
      <c r="A612" t="s">
        <v>636</v>
      </c>
      <c r="B612" t="s">
        <v>732</v>
      </c>
      <c r="C612" t="s">
        <v>145</v>
      </c>
      <c r="D612" t="s">
        <v>369</v>
      </c>
      <c r="E612" t="s">
        <v>156</v>
      </c>
      <c r="F612" t="s">
        <v>1409</v>
      </c>
      <c r="G612" t="s">
        <v>1223</v>
      </c>
    </row>
    <row r="613" spans="1:7" x14ac:dyDescent="0.35">
      <c r="A613" t="s">
        <v>636</v>
      </c>
      <c r="B613" t="s">
        <v>733</v>
      </c>
      <c r="C613" t="s">
        <v>145</v>
      </c>
      <c r="D613" t="s">
        <v>369</v>
      </c>
      <c r="E613" t="s">
        <v>156</v>
      </c>
      <c r="F613" t="s">
        <v>1383</v>
      </c>
      <c r="G613" t="s">
        <v>1411</v>
      </c>
    </row>
    <row r="614" spans="1:7" x14ac:dyDescent="0.35">
      <c r="A614" t="s">
        <v>636</v>
      </c>
      <c r="B614" t="s">
        <v>734</v>
      </c>
      <c r="C614" t="s">
        <v>217</v>
      </c>
      <c r="D614" t="s">
        <v>369</v>
      </c>
      <c r="E614" t="s">
        <v>156</v>
      </c>
      <c r="F614" t="s">
        <v>1395</v>
      </c>
      <c r="G614" t="s">
        <v>1412</v>
      </c>
    </row>
    <row r="615" spans="1:7" x14ac:dyDescent="0.35">
      <c r="A615" t="s">
        <v>636</v>
      </c>
      <c r="B615" t="s">
        <v>735</v>
      </c>
      <c r="C615" t="s">
        <v>141</v>
      </c>
      <c r="D615" t="s">
        <v>369</v>
      </c>
      <c r="E615" t="s">
        <v>156</v>
      </c>
      <c r="F615" t="s">
        <v>1389</v>
      </c>
      <c r="G615" t="s">
        <v>1390</v>
      </c>
    </row>
    <row r="616" spans="1:7" x14ac:dyDescent="0.35">
      <c r="A616" t="s">
        <v>636</v>
      </c>
      <c r="B616" t="s">
        <v>736</v>
      </c>
      <c r="C616" t="s">
        <v>145</v>
      </c>
      <c r="D616" t="s">
        <v>369</v>
      </c>
      <c r="E616" t="s">
        <v>156</v>
      </c>
      <c r="F616" t="s">
        <v>1397</v>
      </c>
      <c r="G616" t="s">
        <v>1413</v>
      </c>
    </row>
    <row r="617" spans="1:7" x14ac:dyDescent="0.35">
      <c r="A617" t="s">
        <v>636</v>
      </c>
      <c r="B617" t="s">
        <v>737</v>
      </c>
      <c r="C617" t="s">
        <v>141</v>
      </c>
      <c r="D617" t="s">
        <v>369</v>
      </c>
      <c r="E617" t="s">
        <v>156</v>
      </c>
      <c r="F617" t="s">
        <v>1389</v>
      </c>
      <c r="G617" t="s">
        <v>1390</v>
      </c>
    </row>
    <row r="618" spans="1:7" x14ac:dyDescent="0.35">
      <c r="A618" t="s">
        <v>636</v>
      </c>
      <c r="B618" t="s">
        <v>738</v>
      </c>
      <c r="C618" t="s">
        <v>141</v>
      </c>
      <c r="D618" t="s">
        <v>369</v>
      </c>
      <c r="E618" t="s">
        <v>156</v>
      </c>
      <c r="F618" t="s">
        <v>1389</v>
      </c>
      <c r="G618" t="s">
        <v>1390</v>
      </c>
    </row>
    <row r="619" spans="1:7" x14ac:dyDescent="0.35">
      <c r="A619" t="s">
        <v>636</v>
      </c>
      <c r="B619" t="s">
        <v>739</v>
      </c>
      <c r="C619" t="s">
        <v>141</v>
      </c>
      <c r="D619" t="s">
        <v>369</v>
      </c>
      <c r="E619" t="s">
        <v>156</v>
      </c>
      <c r="F619" t="s">
        <v>1389</v>
      </c>
      <c r="G619" t="s">
        <v>1390</v>
      </c>
    </row>
    <row r="620" spans="1:7" x14ac:dyDescent="0.35">
      <c r="A620" t="s">
        <v>636</v>
      </c>
      <c r="B620" t="s">
        <v>740</v>
      </c>
      <c r="C620" t="s">
        <v>207</v>
      </c>
      <c r="D620" t="s">
        <v>369</v>
      </c>
      <c r="E620" t="s">
        <v>162</v>
      </c>
      <c r="F620" t="s">
        <v>1235</v>
      </c>
      <c r="G620" t="s">
        <v>1236</v>
      </c>
    </row>
    <row r="621" spans="1:7" x14ac:dyDescent="0.35">
      <c r="A621" t="s">
        <v>636</v>
      </c>
      <c r="B621" t="s">
        <v>741</v>
      </c>
      <c r="C621" t="s">
        <v>141</v>
      </c>
      <c r="D621" t="s">
        <v>369</v>
      </c>
      <c r="E621" t="s">
        <v>162</v>
      </c>
      <c r="F621" t="s">
        <v>1389</v>
      </c>
      <c r="G621" t="s">
        <v>1390</v>
      </c>
    </row>
    <row r="622" spans="1:7" x14ac:dyDescent="0.35">
      <c r="A622" t="s">
        <v>636</v>
      </c>
      <c r="B622" t="s">
        <v>742</v>
      </c>
      <c r="C622" t="s">
        <v>145</v>
      </c>
      <c r="D622" t="s">
        <v>369</v>
      </c>
      <c r="E622" t="s">
        <v>162</v>
      </c>
      <c r="F622" t="s">
        <v>1207</v>
      </c>
      <c r="G622" t="s">
        <v>1208</v>
      </c>
    </row>
    <row r="623" spans="1:7" x14ac:dyDescent="0.35">
      <c r="A623" t="s">
        <v>636</v>
      </c>
      <c r="B623" t="s">
        <v>743</v>
      </c>
      <c r="C623" t="s">
        <v>141</v>
      </c>
      <c r="D623" t="s">
        <v>369</v>
      </c>
      <c r="E623" t="s">
        <v>162</v>
      </c>
      <c r="F623" t="s">
        <v>1389</v>
      </c>
      <c r="G623" t="s">
        <v>1390</v>
      </c>
    </row>
    <row r="624" spans="1:7" x14ac:dyDescent="0.35">
      <c r="A624" t="s">
        <v>636</v>
      </c>
      <c r="B624" t="s">
        <v>744</v>
      </c>
      <c r="C624" t="s">
        <v>207</v>
      </c>
      <c r="D624" t="s">
        <v>369</v>
      </c>
      <c r="E624" t="s">
        <v>165</v>
      </c>
      <c r="F624" t="s">
        <v>1219</v>
      </c>
      <c r="G624" t="s">
        <v>1220</v>
      </c>
    </row>
    <row r="625" spans="1:7" x14ac:dyDescent="0.35">
      <c r="A625" t="s">
        <v>636</v>
      </c>
      <c r="B625" t="s">
        <v>745</v>
      </c>
      <c r="C625" t="s">
        <v>207</v>
      </c>
      <c r="D625" t="s">
        <v>369</v>
      </c>
      <c r="E625" t="s">
        <v>165</v>
      </c>
      <c r="F625" t="s">
        <v>1414</v>
      </c>
      <c r="G625" t="s">
        <v>1415</v>
      </c>
    </row>
    <row r="626" spans="1:7" x14ac:dyDescent="0.35">
      <c r="A626" t="s">
        <v>636</v>
      </c>
      <c r="B626" t="s">
        <v>746</v>
      </c>
      <c r="C626" t="s">
        <v>207</v>
      </c>
      <c r="D626" t="s">
        <v>369</v>
      </c>
      <c r="E626" t="s">
        <v>165</v>
      </c>
      <c r="F626" t="s">
        <v>1219</v>
      </c>
      <c r="G626" t="s">
        <v>1220</v>
      </c>
    </row>
    <row r="627" spans="1:7" x14ac:dyDescent="0.35">
      <c r="A627" t="s">
        <v>636</v>
      </c>
      <c r="B627" t="s">
        <v>747</v>
      </c>
      <c r="C627" t="s">
        <v>207</v>
      </c>
      <c r="D627" t="s">
        <v>369</v>
      </c>
      <c r="E627" t="s">
        <v>356</v>
      </c>
      <c r="F627" t="s">
        <v>1207</v>
      </c>
      <c r="G627" t="s">
        <v>1208</v>
      </c>
    </row>
    <row r="628" spans="1:7" x14ac:dyDescent="0.35">
      <c r="A628" t="s">
        <v>636</v>
      </c>
      <c r="B628" t="s">
        <v>748</v>
      </c>
      <c r="C628" t="s">
        <v>145</v>
      </c>
      <c r="D628" t="s">
        <v>369</v>
      </c>
      <c r="E628" t="s">
        <v>356</v>
      </c>
      <c r="F628" t="s">
        <v>1409</v>
      </c>
      <c r="G628" t="s">
        <v>1223</v>
      </c>
    </row>
    <row r="629" spans="1:7" x14ac:dyDescent="0.35">
      <c r="A629" t="s">
        <v>636</v>
      </c>
      <c r="B629" t="s">
        <v>749</v>
      </c>
      <c r="C629" t="s">
        <v>145</v>
      </c>
      <c r="D629" t="s">
        <v>369</v>
      </c>
      <c r="E629" t="s">
        <v>356</v>
      </c>
      <c r="F629" t="s">
        <v>1391</v>
      </c>
      <c r="G629" t="s">
        <v>1392</v>
      </c>
    </row>
    <row r="630" spans="1:7" x14ac:dyDescent="0.35">
      <c r="A630" t="s">
        <v>636</v>
      </c>
      <c r="B630" t="s">
        <v>750</v>
      </c>
      <c r="C630" t="s">
        <v>145</v>
      </c>
      <c r="D630" t="s">
        <v>369</v>
      </c>
      <c r="E630" t="s">
        <v>356</v>
      </c>
      <c r="F630" t="s">
        <v>1391</v>
      </c>
      <c r="G630" t="s">
        <v>1392</v>
      </c>
    </row>
    <row r="631" spans="1:7" x14ac:dyDescent="0.35">
      <c r="A631" t="s">
        <v>636</v>
      </c>
      <c r="B631" t="s">
        <v>751</v>
      </c>
      <c r="C631" t="s">
        <v>145</v>
      </c>
      <c r="D631" t="s">
        <v>369</v>
      </c>
      <c r="E631" t="s">
        <v>167</v>
      </c>
      <c r="F631" t="s">
        <v>1214</v>
      </c>
      <c r="G631" t="s">
        <v>1215</v>
      </c>
    </row>
    <row r="632" spans="1:7" x14ac:dyDescent="0.35">
      <c r="A632" t="s">
        <v>636</v>
      </c>
      <c r="B632" t="s">
        <v>752</v>
      </c>
      <c r="C632" t="s">
        <v>145</v>
      </c>
      <c r="D632" t="s">
        <v>369</v>
      </c>
      <c r="E632" t="s">
        <v>167</v>
      </c>
      <c r="F632" t="s">
        <v>1214</v>
      </c>
      <c r="G632" t="s">
        <v>1215</v>
      </c>
    </row>
    <row r="633" spans="1:7" x14ac:dyDescent="0.35">
      <c r="A633" t="s">
        <v>636</v>
      </c>
      <c r="B633" t="s">
        <v>753</v>
      </c>
      <c r="C633" t="s">
        <v>145</v>
      </c>
      <c r="D633" t="s">
        <v>369</v>
      </c>
      <c r="E633" t="s">
        <v>167</v>
      </c>
      <c r="F633" t="s">
        <v>1214</v>
      </c>
      <c r="G633" t="s">
        <v>1215</v>
      </c>
    </row>
    <row r="634" spans="1:7" x14ac:dyDescent="0.35">
      <c r="A634" t="s">
        <v>636</v>
      </c>
      <c r="B634" t="s">
        <v>754</v>
      </c>
      <c r="C634" t="s">
        <v>145</v>
      </c>
      <c r="D634" t="s">
        <v>369</v>
      </c>
      <c r="E634" t="s">
        <v>167</v>
      </c>
      <c r="F634" t="s">
        <v>1416</v>
      </c>
      <c r="G634" t="s">
        <v>1417</v>
      </c>
    </row>
    <row r="635" spans="1:7" x14ac:dyDescent="0.35">
      <c r="A635" t="s">
        <v>636</v>
      </c>
      <c r="B635" t="s">
        <v>755</v>
      </c>
      <c r="C635" t="s">
        <v>145</v>
      </c>
      <c r="D635" t="s">
        <v>369</v>
      </c>
      <c r="E635" t="s">
        <v>167</v>
      </c>
      <c r="F635" t="s">
        <v>1214</v>
      </c>
      <c r="G635" t="s">
        <v>1215</v>
      </c>
    </row>
    <row r="636" spans="1:7" x14ac:dyDescent="0.35">
      <c r="A636" t="s">
        <v>636</v>
      </c>
      <c r="B636" t="s">
        <v>756</v>
      </c>
      <c r="C636" t="s">
        <v>145</v>
      </c>
      <c r="D636" t="s">
        <v>369</v>
      </c>
      <c r="E636" t="s">
        <v>167</v>
      </c>
      <c r="F636" t="s">
        <v>1214</v>
      </c>
      <c r="G636" t="s">
        <v>1215</v>
      </c>
    </row>
    <row r="637" spans="1:7" x14ac:dyDescent="0.35">
      <c r="A637" t="s">
        <v>636</v>
      </c>
      <c r="B637" t="s">
        <v>757</v>
      </c>
      <c r="C637" t="s">
        <v>145</v>
      </c>
      <c r="D637" t="s">
        <v>369</v>
      </c>
      <c r="E637" t="s">
        <v>167</v>
      </c>
      <c r="F637" t="s">
        <v>1214</v>
      </c>
      <c r="G637" t="s">
        <v>1215</v>
      </c>
    </row>
    <row r="638" spans="1:7" x14ac:dyDescent="0.35">
      <c r="A638" t="s">
        <v>636</v>
      </c>
      <c r="B638" t="s">
        <v>758</v>
      </c>
      <c r="C638" t="s">
        <v>145</v>
      </c>
      <c r="D638" t="s">
        <v>369</v>
      </c>
      <c r="E638" t="s">
        <v>167</v>
      </c>
      <c r="F638" t="s">
        <v>1418</v>
      </c>
      <c r="G638" t="s">
        <v>1419</v>
      </c>
    </row>
    <row r="639" spans="1:7" x14ac:dyDescent="0.35">
      <c r="A639" t="s">
        <v>636</v>
      </c>
      <c r="B639" t="s">
        <v>759</v>
      </c>
      <c r="C639" t="s">
        <v>145</v>
      </c>
      <c r="D639" t="s">
        <v>369</v>
      </c>
      <c r="E639" t="s">
        <v>167</v>
      </c>
      <c r="F639" t="s">
        <v>1420</v>
      </c>
      <c r="G639" t="s">
        <v>1412</v>
      </c>
    </row>
    <row r="640" spans="1:7" x14ac:dyDescent="0.35">
      <c r="A640" t="s">
        <v>636</v>
      </c>
      <c r="B640" t="s">
        <v>760</v>
      </c>
      <c r="C640" t="s">
        <v>207</v>
      </c>
      <c r="D640" t="s">
        <v>369</v>
      </c>
      <c r="E640" t="s">
        <v>167</v>
      </c>
      <c r="F640" t="s">
        <v>1416</v>
      </c>
      <c r="G640" t="s">
        <v>1417</v>
      </c>
    </row>
    <row r="641" spans="1:7" x14ac:dyDescent="0.35">
      <c r="A641" t="s">
        <v>636</v>
      </c>
      <c r="B641" t="s">
        <v>761</v>
      </c>
      <c r="C641" t="s">
        <v>145</v>
      </c>
      <c r="D641" t="s">
        <v>369</v>
      </c>
      <c r="E641" t="s">
        <v>167</v>
      </c>
      <c r="F641" t="s">
        <v>1421</v>
      </c>
      <c r="G641" t="s">
        <v>1422</v>
      </c>
    </row>
    <row r="642" spans="1:7" x14ac:dyDescent="0.35">
      <c r="A642" t="s">
        <v>636</v>
      </c>
      <c r="B642" t="s">
        <v>762</v>
      </c>
      <c r="C642" t="s">
        <v>145</v>
      </c>
      <c r="D642" t="s">
        <v>369</v>
      </c>
      <c r="E642" t="s">
        <v>167</v>
      </c>
      <c r="F642" t="s">
        <v>1217</v>
      </c>
      <c r="G642" t="s">
        <v>1218</v>
      </c>
    </row>
    <row r="643" spans="1:7" x14ac:dyDescent="0.35">
      <c r="A643" t="s">
        <v>636</v>
      </c>
      <c r="B643" t="s">
        <v>763</v>
      </c>
      <c r="C643" t="s">
        <v>145</v>
      </c>
      <c r="D643" t="s">
        <v>369</v>
      </c>
      <c r="E643" t="s">
        <v>167</v>
      </c>
      <c r="F643" t="s">
        <v>1391</v>
      </c>
      <c r="G643" t="s">
        <v>1392</v>
      </c>
    </row>
    <row r="644" spans="1:7" x14ac:dyDescent="0.35">
      <c r="A644" t="s">
        <v>636</v>
      </c>
      <c r="B644" t="s">
        <v>764</v>
      </c>
      <c r="C644" t="s">
        <v>145</v>
      </c>
      <c r="D644" t="s">
        <v>369</v>
      </c>
      <c r="E644" t="s">
        <v>167</v>
      </c>
      <c r="F644" t="s">
        <v>1214</v>
      </c>
      <c r="G644" t="s">
        <v>1215</v>
      </c>
    </row>
    <row r="645" spans="1:7" x14ac:dyDescent="0.35">
      <c r="A645" t="s">
        <v>636</v>
      </c>
      <c r="B645" t="s">
        <v>765</v>
      </c>
      <c r="C645" t="s">
        <v>145</v>
      </c>
      <c r="D645" t="s">
        <v>369</v>
      </c>
      <c r="E645" t="s">
        <v>167</v>
      </c>
      <c r="F645" t="s">
        <v>1214</v>
      </c>
      <c r="G645" t="s">
        <v>1215</v>
      </c>
    </row>
    <row r="646" spans="1:7" x14ac:dyDescent="0.35">
      <c r="A646" t="s">
        <v>636</v>
      </c>
      <c r="B646" t="s">
        <v>766</v>
      </c>
      <c r="C646" t="s">
        <v>145</v>
      </c>
      <c r="D646" t="s">
        <v>369</v>
      </c>
      <c r="E646" t="s">
        <v>167</v>
      </c>
      <c r="F646" t="s">
        <v>1214</v>
      </c>
      <c r="G646" t="s">
        <v>1215</v>
      </c>
    </row>
    <row r="647" spans="1:7" x14ac:dyDescent="0.35">
      <c r="A647" t="s">
        <v>636</v>
      </c>
      <c r="B647" t="s">
        <v>767</v>
      </c>
      <c r="C647" t="s">
        <v>141</v>
      </c>
      <c r="D647" t="s">
        <v>369</v>
      </c>
      <c r="E647" t="s">
        <v>170</v>
      </c>
      <c r="F647" t="s">
        <v>1423</v>
      </c>
      <c r="G647" t="s">
        <v>1424</v>
      </c>
    </row>
    <row r="648" spans="1:7" x14ac:dyDescent="0.35">
      <c r="A648" t="s">
        <v>636</v>
      </c>
      <c r="B648" t="s">
        <v>768</v>
      </c>
      <c r="C648" t="s">
        <v>217</v>
      </c>
      <c r="D648" t="s">
        <v>369</v>
      </c>
      <c r="E648" t="s">
        <v>170</v>
      </c>
      <c r="F648" t="s">
        <v>1425</v>
      </c>
      <c r="G648" t="s">
        <v>1215</v>
      </c>
    </row>
    <row r="649" spans="1:7" x14ac:dyDescent="0.35">
      <c r="A649" t="s">
        <v>636</v>
      </c>
      <c r="B649" t="s">
        <v>769</v>
      </c>
      <c r="C649" t="s">
        <v>145</v>
      </c>
      <c r="D649" t="s">
        <v>369</v>
      </c>
      <c r="E649" t="s">
        <v>170</v>
      </c>
      <c r="F649" t="s">
        <v>1405</v>
      </c>
      <c r="G649" t="s">
        <v>1406</v>
      </c>
    </row>
    <row r="650" spans="1:7" x14ac:dyDescent="0.35">
      <c r="A650" t="s">
        <v>636</v>
      </c>
      <c r="B650" t="s">
        <v>770</v>
      </c>
      <c r="C650" t="s">
        <v>145</v>
      </c>
      <c r="D650" t="s">
        <v>369</v>
      </c>
      <c r="E650" t="s">
        <v>170</v>
      </c>
      <c r="F650" t="s">
        <v>1426</v>
      </c>
      <c r="G650" t="s">
        <v>1427</v>
      </c>
    </row>
    <row r="651" spans="1:7" x14ac:dyDescent="0.35">
      <c r="A651" t="s">
        <v>636</v>
      </c>
      <c r="B651" t="s">
        <v>771</v>
      </c>
      <c r="C651" t="s">
        <v>145</v>
      </c>
      <c r="D651" t="s">
        <v>369</v>
      </c>
      <c r="E651" t="s">
        <v>170</v>
      </c>
      <c r="F651" t="s">
        <v>1426</v>
      </c>
      <c r="G651" t="s">
        <v>1427</v>
      </c>
    </row>
    <row r="652" spans="1:7" x14ac:dyDescent="0.35">
      <c r="A652" t="s">
        <v>636</v>
      </c>
      <c r="B652" t="s">
        <v>772</v>
      </c>
      <c r="C652" t="s">
        <v>145</v>
      </c>
      <c r="D652" t="s">
        <v>369</v>
      </c>
      <c r="E652" t="s">
        <v>170</v>
      </c>
      <c r="F652" t="s">
        <v>1401</v>
      </c>
      <c r="G652" t="s">
        <v>1402</v>
      </c>
    </row>
    <row r="653" spans="1:7" x14ac:dyDescent="0.35">
      <c r="A653" t="s">
        <v>636</v>
      </c>
      <c r="B653" t="s">
        <v>773</v>
      </c>
      <c r="C653" t="s">
        <v>145</v>
      </c>
      <c r="D653" t="s">
        <v>369</v>
      </c>
      <c r="E653" t="s">
        <v>170</v>
      </c>
      <c r="F653" t="s">
        <v>1428</v>
      </c>
      <c r="G653" t="s">
        <v>1429</v>
      </c>
    </row>
    <row r="654" spans="1:7" x14ac:dyDescent="0.35">
      <c r="A654" t="s">
        <v>636</v>
      </c>
      <c r="B654" t="s">
        <v>774</v>
      </c>
      <c r="C654" t="s">
        <v>207</v>
      </c>
      <c r="D654" t="s">
        <v>369</v>
      </c>
      <c r="E654" t="s">
        <v>170</v>
      </c>
      <c r="F654" t="s">
        <v>1430</v>
      </c>
      <c r="G654" t="s">
        <v>1204</v>
      </c>
    </row>
    <row r="655" spans="1:7" x14ac:dyDescent="0.35">
      <c r="A655" t="s">
        <v>636</v>
      </c>
      <c r="B655" t="s">
        <v>775</v>
      </c>
      <c r="C655" t="s">
        <v>145</v>
      </c>
      <c r="D655" t="s">
        <v>369</v>
      </c>
      <c r="E655" t="s">
        <v>170</v>
      </c>
      <c r="F655" t="s">
        <v>1207</v>
      </c>
      <c r="G655" t="s">
        <v>1208</v>
      </c>
    </row>
    <row r="656" spans="1:7" x14ac:dyDescent="0.35">
      <c r="A656" t="s">
        <v>636</v>
      </c>
      <c r="B656" t="s">
        <v>776</v>
      </c>
      <c r="C656" t="s">
        <v>145</v>
      </c>
      <c r="D656" t="s">
        <v>369</v>
      </c>
      <c r="E656" t="s">
        <v>170</v>
      </c>
      <c r="F656" t="s">
        <v>1426</v>
      </c>
      <c r="G656" t="s">
        <v>1427</v>
      </c>
    </row>
    <row r="657" spans="1:7" x14ac:dyDescent="0.35">
      <c r="A657" t="s">
        <v>636</v>
      </c>
      <c r="B657" t="s">
        <v>777</v>
      </c>
      <c r="C657" t="s">
        <v>145</v>
      </c>
      <c r="D657" t="s">
        <v>369</v>
      </c>
      <c r="E657" t="s">
        <v>170</v>
      </c>
      <c r="F657" t="s">
        <v>1416</v>
      </c>
      <c r="G657" t="s">
        <v>1417</v>
      </c>
    </row>
    <row r="658" spans="1:7" x14ac:dyDescent="0.35">
      <c r="A658" t="s">
        <v>636</v>
      </c>
      <c r="B658" t="s">
        <v>778</v>
      </c>
      <c r="C658" t="s">
        <v>145</v>
      </c>
      <c r="D658" t="s">
        <v>369</v>
      </c>
      <c r="E658" t="s">
        <v>173</v>
      </c>
      <c r="F658" t="s">
        <v>1209</v>
      </c>
      <c r="G658" t="s">
        <v>1208</v>
      </c>
    </row>
    <row r="659" spans="1:7" x14ac:dyDescent="0.35">
      <c r="A659" t="s">
        <v>636</v>
      </c>
      <c r="B659" t="s">
        <v>779</v>
      </c>
      <c r="C659" t="s">
        <v>145</v>
      </c>
      <c r="D659" t="s">
        <v>369</v>
      </c>
      <c r="E659" t="s">
        <v>173</v>
      </c>
      <c r="F659" t="s">
        <v>1214</v>
      </c>
      <c r="G659" t="s">
        <v>1215</v>
      </c>
    </row>
    <row r="660" spans="1:7" x14ac:dyDescent="0.35">
      <c r="A660" t="s">
        <v>636</v>
      </c>
      <c r="B660" t="s">
        <v>780</v>
      </c>
      <c r="C660" t="s">
        <v>141</v>
      </c>
      <c r="D660" t="s">
        <v>369</v>
      </c>
      <c r="E660" t="s">
        <v>173</v>
      </c>
      <c r="F660" t="s">
        <v>1423</v>
      </c>
      <c r="G660" t="s">
        <v>1424</v>
      </c>
    </row>
    <row r="661" spans="1:7" x14ac:dyDescent="0.35">
      <c r="A661" t="s">
        <v>636</v>
      </c>
      <c r="B661" t="s">
        <v>781</v>
      </c>
      <c r="C661" t="s">
        <v>145</v>
      </c>
      <c r="D661" t="s">
        <v>369</v>
      </c>
      <c r="E661" t="s">
        <v>173</v>
      </c>
      <c r="F661" t="s">
        <v>1391</v>
      </c>
      <c r="G661" t="s">
        <v>1392</v>
      </c>
    </row>
    <row r="662" spans="1:7" x14ac:dyDescent="0.35">
      <c r="A662" t="s">
        <v>636</v>
      </c>
      <c r="B662" t="s">
        <v>782</v>
      </c>
      <c r="C662" t="s">
        <v>145</v>
      </c>
      <c r="D662" t="s">
        <v>369</v>
      </c>
      <c r="E662" t="s">
        <v>173</v>
      </c>
      <c r="F662" t="s">
        <v>1426</v>
      </c>
      <c r="G662" t="s">
        <v>1427</v>
      </c>
    </row>
    <row r="663" spans="1:7" x14ac:dyDescent="0.35">
      <c r="A663" t="s">
        <v>636</v>
      </c>
      <c r="B663" t="s">
        <v>783</v>
      </c>
      <c r="C663" t="s">
        <v>145</v>
      </c>
      <c r="D663" t="s">
        <v>369</v>
      </c>
      <c r="E663" t="s">
        <v>173</v>
      </c>
      <c r="F663" t="s">
        <v>1199</v>
      </c>
      <c r="G663" t="s">
        <v>1200</v>
      </c>
    </row>
    <row r="664" spans="1:7" x14ac:dyDescent="0.35">
      <c r="A664" t="s">
        <v>636</v>
      </c>
      <c r="B664" t="s">
        <v>784</v>
      </c>
      <c r="C664" t="s">
        <v>145</v>
      </c>
      <c r="D664" t="s">
        <v>369</v>
      </c>
      <c r="E664" t="s">
        <v>173</v>
      </c>
      <c r="F664" t="s">
        <v>1418</v>
      </c>
      <c r="G664" t="s">
        <v>1419</v>
      </c>
    </row>
    <row r="665" spans="1:7" x14ac:dyDescent="0.35">
      <c r="A665" t="s">
        <v>636</v>
      </c>
      <c r="B665" t="s">
        <v>785</v>
      </c>
      <c r="C665" t="s">
        <v>145</v>
      </c>
      <c r="D665" t="s">
        <v>369</v>
      </c>
      <c r="E665" t="s">
        <v>173</v>
      </c>
      <c r="F665" t="s">
        <v>1431</v>
      </c>
      <c r="G665" t="s">
        <v>1221</v>
      </c>
    </row>
    <row r="666" spans="1:7" x14ac:dyDescent="0.35">
      <c r="A666" t="s">
        <v>636</v>
      </c>
      <c r="B666" t="s">
        <v>786</v>
      </c>
      <c r="C666" t="s">
        <v>145</v>
      </c>
      <c r="D666" t="s">
        <v>369</v>
      </c>
      <c r="E666" t="s">
        <v>173</v>
      </c>
      <c r="F666" t="s">
        <v>1207</v>
      </c>
      <c r="G666" t="s">
        <v>1208</v>
      </c>
    </row>
    <row r="667" spans="1:7" x14ac:dyDescent="0.35">
      <c r="A667" t="s">
        <v>636</v>
      </c>
      <c r="B667" t="s">
        <v>787</v>
      </c>
      <c r="C667" t="s">
        <v>145</v>
      </c>
      <c r="D667" t="s">
        <v>369</v>
      </c>
      <c r="E667" t="s">
        <v>173</v>
      </c>
      <c r="F667" t="s">
        <v>1199</v>
      </c>
      <c r="G667" t="s">
        <v>1200</v>
      </c>
    </row>
    <row r="668" spans="1:7" x14ac:dyDescent="0.35">
      <c r="A668" t="s">
        <v>636</v>
      </c>
      <c r="B668" t="s">
        <v>788</v>
      </c>
      <c r="C668" t="s">
        <v>145</v>
      </c>
      <c r="D668" t="s">
        <v>369</v>
      </c>
      <c r="E668" t="s">
        <v>178</v>
      </c>
      <c r="F668" t="s">
        <v>1426</v>
      </c>
      <c r="G668" t="s">
        <v>1427</v>
      </c>
    </row>
    <row r="669" spans="1:7" x14ac:dyDescent="0.35">
      <c r="A669" t="s">
        <v>636</v>
      </c>
      <c r="B669" t="s">
        <v>789</v>
      </c>
      <c r="C669" t="s">
        <v>145</v>
      </c>
      <c r="D669" t="s">
        <v>369</v>
      </c>
      <c r="E669" t="s">
        <v>178</v>
      </c>
      <c r="F669" t="s">
        <v>1426</v>
      </c>
      <c r="G669" t="s">
        <v>1427</v>
      </c>
    </row>
    <row r="670" spans="1:7" x14ac:dyDescent="0.35">
      <c r="A670" t="s">
        <v>636</v>
      </c>
      <c r="B670" t="s">
        <v>790</v>
      </c>
      <c r="C670" t="s">
        <v>145</v>
      </c>
      <c r="D670" t="s">
        <v>369</v>
      </c>
      <c r="E670" t="s">
        <v>178</v>
      </c>
      <c r="F670" t="s">
        <v>1426</v>
      </c>
      <c r="G670" t="s">
        <v>1427</v>
      </c>
    </row>
    <row r="671" spans="1:7" x14ac:dyDescent="0.35">
      <c r="A671" t="s">
        <v>636</v>
      </c>
      <c r="B671" t="s">
        <v>791</v>
      </c>
      <c r="C671" t="s">
        <v>207</v>
      </c>
      <c r="D671" t="s">
        <v>369</v>
      </c>
      <c r="E671" t="s">
        <v>178</v>
      </c>
      <c r="F671" t="s">
        <v>1395</v>
      </c>
      <c r="G671" t="s">
        <v>1396</v>
      </c>
    </row>
    <row r="672" spans="1:7" x14ac:dyDescent="0.35">
      <c r="A672" t="s">
        <v>636</v>
      </c>
      <c r="B672" t="s">
        <v>792</v>
      </c>
      <c r="C672" t="s">
        <v>145</v>
      </c>
      <c r="D672" t="s">
        <v>369</v>
      </c>
      <c r="E672" t="s">
        <v>178</v>
      </c>
      <c r="F672" t="s">
        <v>1421</v>
      </c>
      <c r="G672" t="s">
        <v>1422</v>
      </c>
    </row>
    <row r="673" spans="1:7" x14ac:dyDescent="0.35">
      <c r="A673" t="s">
        <v>636</v>
      </c>
      <c r="B673" t="s">
        <v>793</v>
      </c>
      <c r="C673" t="s">
        <v>145</v>
      </c>
      <c r="D673" t="s">
        <v>369</v>
      </c>
      <c r="E673" t="s">
        <v>178</v>
      </c>
      <c r="F673" t="s">
        <v>1219</v>
      </c>
      <c r="G673" t="s">
        <v>1220</v>
      </c>
    </row>
    <row r="674" spans="1:7" x14ac:dyDescent="0.35">
      <c r="A674" t="s">
        <v>636</v>
      </c>
      <c r="B674" t="s">
        <v>794</v>
      </c>
      <c r="C674" t="s">
        <v>439</v>
      </c>
      <c r="D674" t="s">
        <v>369</v>
      </c>
      <c r="E674" t="s">
        <v>178</v>
      </c>
      <c r="F674" t="s">
        <v>1432</v>
      </c>
      <c r="G674" t="s">
        <v>1433</v>
      </c>
    </row>
    <row r="675" spans="1:7" x14ac:dyDescent="0.35">
      <c r="A675" t="s">
        <v>636</v>
      </c>
      <c r="B675" t="s">
        <v>795</v>
      </c>
      <c r="C675" t="s">
        <v>145</v>
      </c>
      <c r="D675" t="s">
        <v>369</v>
      </c>
      <c r="E675" t="s">
        <v>178</v>
      </c>
      <c r="F675" t="s">
        <v>1416</v>
      </c>
      <c r="G675" t="s">
        <v>1417</v>
      </c>
    </row>
    <row r="676" spans="1:7" x14ac:dyDescent="0.35">
      <c r="A676" t="s">
        <v>636</v>
      </c>
      <c r="B676" t="s">
        <v>796</v>
      </c>
      <c r="C676" t="s">
        <v>145</v>
      </c>
      <c r="D676" t="s">
        <v>369</v>
      </c>
      <c r="E676" t="s">
        <v>178</v>
      </c>
      <c r="F676" t="s">
        <v>1207</v>
      </c>
      <c r="G676" t="s">
        <v>1208</v>
      </c>
    </row>
    <row r="677" spans="1:7" x14ac:dyDescent="0.35">
      <c r="A677" t="s">
        <v>636</v>
      </c>
      <c r="B677" t="s">
        <v>797</v>
      </c>
      <c r="C677" t="s">
        <v>141</v>
      </c>
      <c r="D677" t="s">
        <v>369</v>
      </c>
      <c r="E677" t="s">
        <v>183</v>
      </c>
      <c r="F677" t="s">
        <v>1416</v>
      </c>
      <c r="G677" t="s">
        <v>1404</v>
      </c>
    </row>
    <row r="678" spans="1:7" x14ac:dyDescent="0.35">
      <c r="A678" t="s">
        <v>636</v>
      </c>
      <c r="B678" t="s">
        <v>798</v>
      </c>
      <c r="C678" t="s">
        <v>207</v>
      </c>
      <c r="D678" t="s">
        <v>369</v>
      </c>
      <c r="E678" t="s">
        <v>183</v>
      </c>
      <c r="F678" t="s">
        <v>1410</v>
      </c>
      <c r="G678" t="s">
        <v>1402</v>
      </c>
    </row>
    <row r="679" spans="1:7" x14ac:dyDescent="0.35">
      <c r="A679" t="s">
        <v>636</v>
      </c>
      <c r="B679" t="s">
        <v>799</v>
      </c>
      <c r="C679" t="s">
        <v>145</v>
      </c>
      <c r="D679" t="s">
        <v>369</v>
      </c>
      <c r="E679" t="s">
        <v>183</v>
      </c>
      <c r="F679" t="s">
        <v>1214</v>
      </c>
      <c r="G679" t="s">
        <v>1215</v>
      </c>
    </row>
    <row r="680" spans="1:7" x14ac:dyDescent="0.35">
      <c r="A680" t="s">
        <v>636</v>
      </c>
      <c r="B680" t="s">
        <v>800</v>
      </c>
      <c r="C680" t="s">
        <v>145</v>
      </c>
      <c r="D680" t="s">
        <v>369</v>
      </c>
      <c r="E680" t="s">
        <v>183</v>
      </c>
      <c r="F680" t="s">
        <v>1207</v>
      </c>
      <c r="G680" t="s">
        <v>1208</v>
      </c>
    </row>
    <row r="681" spans="1:7" x14ac:dyDescent="0.35">
      <c r="A681" t="s">
        <v>636</v>
      </c>
      <c r="B681" t="s">
        <v>801</v>
      </c>
      <c r="C681" t="s">
        <v>145</v>
      </c>
      <c r="D681" t="s">
        <v>369</v>
      </c>
      <c r="E681" t="s">
        <v>183</v>
      </c>
      <c r="F681" t="s">
        <v>1383</v>
      </c>
      <c r="G681" t="s">
        <v>1411</v>
      </c>
    </row>
    <row r="682" spans="1:7" x14ac:dyDescent="0.35">
      <c r="A682" t="s">
        <v>636</v>
      </c>
      <c r="B682" t="s">
        <v>802</v>
      </c>
      <c r="C682" t="s">
        <v>217</v>
      </c>
      <c r="D682" t="s">
        <v>369</v>
      </c>
      <c r="E682" t="s">
        <v>183</v>
      </c>
      <c r="F682" t="s">
        <v>1431</v>
      </c>
      <c r="G682" t="s">
        <v>1221</v>
      </c>
    </row>
    <row r="683" spans="1:7" x14ac:dyDescent="0.35">
      <c r="A683" t="s">
        <v>636</v>
      </c>
      <c r="B683" t="s">
        <v>803</v>
      </c>
      <c r="C683" t="s">
        <v>145</v>
      </c>
      <c r="D683" t="s">
        <v>369</v>
      </c>
      <c r="E683" t="s">
        <v>183</v>
      </c>
      <c r="F683" t="s">
        <v>1217</v>
      </c>
      <c r="G683" t="s">
        <v>1218</v>
      </c>
    </row>
    <row r="684" spans="1:7" x14ac:dyDescent="0.35">
      <c r="A684" t="s">
        <v>636</v>
      </c>
      <c r="B684" t="s">
        <v>804</v>
      </c>
      <c r="C684" t="s">
        <v>145</v>
      </c>
      <c r="D684" t="s">
        <v>369</v>
      </c>
      <c r="E684" t="s">
        <v>183</v>
      </c>
      <c r="F684" t="s">
        <v>1426</v>
      </c>
      <c r="G684" t="s">
        <v>1427</v>
      </c>
    </row>
    <row r="685" spans="1:7" x14ac:dyDescent="0.35">
      <c r="A685" t="s">
        <v>636</v>
      </c>
      <c r="B685" t="s">
        <v>805</v>
      </c>
      <c r="C685" t="s">
        <v>145</v>
      </c>
      <c r="D685" t="s">
        <v>369</v>
      </c>
      <c r="E685" t="s">
        <v>183</v>
      </c>
      <c r="F685" t="s">
        <v>1214</v>
      </c>
      <c r="G685" t="s">
        <v>1215</v>
      </c>
    </row>
    <row r="686" spans="1:7" x14ac:dyDescent="0.35">
      <c r="A686" t="s">
        <v>636</v>
      </c>
      <c r="B686" t="s">
        <v>806</v>
      </c>
      <c r="C686" t="s">
        <v>145</v>
      </c>
      <c r="D686" t="s">
        <v>369</v>
      </c>
      <c r="E686" t="s">
        <v>183</v>
      </c>
      <c r="F686" t="s">
        <v>1418</v>
      </c>
      <c r="G686" t="s">
        <v>1419</v>
      </c>
    </row>
    <row r="687" spans="1:7" x14ac:dyDescent="0.35">
      <c r="A687" t="s">
        <v>636</v>
      </c>
      <c r="B687" t="s">
        <v>807</v>
      </c>
      <c r="C687" t="s">
        <v>145</v>
      </c>
      <c r="D687" t="s">
        <v>369</v>
      </c>
      <c r="E687" t="s">
        <v>183</v>
      </c>
      <c r="F687" t="s">
        <v>1434</v>
      </c>
      <c r="G687" t="s">
        <v>1208</v>
      </c>
    </row>
    <row r="688" spans="1:7" x14ac:dyDescent="0.35">
      <c r="A688" t="s">
        <v>636</v>
      </c>
      <c r="B688" t="s">
        <v>808</v>
      </c>
      <c r="C688" t="s">
        <v>145</v>
      </c>
      <c r="D688" t="s">
        <v>369</v>
      </c>
      <c r="E688" t="s">
        <v>183</v>
      </c>
      <c r="F688" t="s">
        <v>1418</v>
      </c>
      <c r="G688" t="s">
        <v>1419</v>
      </c>
    </row>
    <row r="689" spans="1:7" x14ac:dyDescent="0.35">
      <c r="A689" t="s">
        <v>636</v>
      </c>
      <c r="B689" t="s">
        <v>809</v>
      </c>
      <c r="C689" t="s">
        <v>217</v>
      </c>
      <c r="D689" t="s">
        <v>369</v>
      </c>
      <c r="E689" t="s">
        <v>183</v>
      </c>
      <c r="F689" t="s">
        <v>1395</v>
      </c>
      <c r="G689" t="s">
        <v>1396</v>
      </c>
    </row>
    <row r="690" spans="1:7" x14ac:dyDescent="0.35">
      <c r="A690" t="s">
        <v>636</v>
      </c>
      <c r="B690" t="s">
        <v>810</v>
      </c>
      <c r="C690" t="s">
        <v>145</v>
      </c>
      <c r="D690" t="s">
        <v>369</v>
      </c>
      <c r="E690" t="s">
        <v>183</v>
      </c>
      <c r="F690" t="s">
        <v>1199</v>
      </c>
      <c r="G690" t="s">
        <v>1200</v>
      </c>
    </row>
    <row r="691" spans="1:7" x14ac:dyDescent="0.35">
      <c r="A691" t="s">
        <v>636</v>
      </c>
      <c r="B691" t="s">
        <v>811</v>
      </c>
      <c r="C691" t="s">
        <v>141</v>
      </c>
      <c r="D691" t="s">
        <v>369</v>
      </c>
      <c r="E691" t="s">
        <v>189</v>
      </c>
      <c r="F691" t="s">
        <v>1435</v>
      </c>
      <c r="G691" t="s">
        <v>1436</v>
      </c>
    </row>
    <row r="692" spans="1:7" x14ac:dyDescent="0.35">
      <c r="A692" t="s">
        <v>636</v>
      </c>
      <c r="B692" t="s">
        <v>812</v>
      </c>
      <c r="C692" t="s">
        <v>141</v>
      </c>
      <c r="D692" t="s">
        <v>369</v>
      </c>
      <c r="E692" t="s">
        <v>189</v>
      </c>
      <c r="F692" t="s">
        <v>1397</v>
      </c>
      <c r="G692" t="s">
        <v>1413</v>
      </c>
    </row>
    <row r="693" spans="1:7" x14ac:dyDescent="0.35">
      <c r="A693" t="s">
        <v>636</v>
      </c>
      <c r="B693" t="s">
        <v>813</v>
      </c>
      <c r="C693" t="s">
        <v>145</v>
      </c>
      <c r="D693" t="s">
        <v>369</v>
      </c>
      <c r="E693" t="s">
        <v>189</v>
      </c>
      <c r="F693" t="s">
        <v>1201</v>
      </c>
      <c r="G693" t="s">
        <v>1202</v>
      </c>
    </row>
    <row r="694" spans="1:7" x14ac:dyDescent="0.35">
      <c r="A694" t="s">
        <v>636</v>
      </c>
      <c r="B694" t="s">
        <v>814</v>
      </c>
      <c r="C694" t="s">
        <v>145</v>
      </c>
      <c r="D694" t="s">
        <v>369</v>
      </c>
      <c r="E694" t="s">
        <v>189</v>
      </c>
      <c r="F694" t="s">
        <v>1207</v>
      </c>
      <c r="G694" t="s">
        <v>1208</v>
      </c>
    </row>
    <row r="695" spans="1:7" x14ac:dyDescent="0.35">
      <c r="A695" t="s">
        <v>636</v>
      </c>
      <c r="B695" t="s">
        <v>815</v>
      </c>
      <c r="C695" t="s">
        <v>145</v>
      </c>
      <c r="D695" t="s">
        <v>369</v>
      </c>
      <c r="E695" t="s">
        <v>189</v>
      </c>
      <c r="F695" t="s">
        <v>1216</v>
      </c>
      <c r="G695" t="s">
        <v>1204</v>
      </c>
    </row>
    <row r="696" spans="1:7" x14ac:dyDescent="0.35">
      <c r="A696" t="s">
        <v>636</v>
      </c>
      <c r="B696" t="s">
        <v>816</v>
      </c>
      <c r="C696" t="s">
        <v>145</v>
      </c>
      <c r="D696" t="s">
        <v>369</v>
      </c>
      <c r="E696" t="s">
        <v>189</v>
      </c>
      <c r="F696" t="s">
        <v>1383</v>
      </c>
      <c r="G696" t="s">
        <v>1427</v>
      </c>
    </row>
    <row r="697" spans="1:7" x14ac:dyDescent="0.35">
      <c r="A697" t="s">
        <v>636</v>
      </c>
      <c r="B697" t="s">
        <v>817</v>
      </c>
      <c r="C697" t="s">
        <v>217</v>
      </c>
      <c r="D697" t="s">
        <v>369</v>
      </c>
      <c r="E697" t="s">
        <v>189</v>
      </c>
      <c r="F697" t="s">
        <v>1401</v>
      </c>
      <c r="G697" t="s">
        <v>1402</v>
      </c>
    </row>
    <row r="698" spans="1:7" x14ac:dyDescent="0.35">
      <c r="A698" t="s">
        <v>636</v>
      </c>
      <c r="B698" t="s">
        <v>818</v>
      </c>
      <c r="C698" t="s">
        <v>145</v>
      </c>
      <c r="D698" t="s">
        <v>369</v>
      </c>
      <c r="E698" t="s">
        <v>189</v>
      </c>
      <c r="F698" t="s">
        <v>1216</v>
      </c>
      <c r="G698" t="s">
        <v>1204</v>
      </c>
    </row>
    <row r="699" spans="1:7" x14ac:dyDescent="0.35">
      <c r="A699" t="s">
        <v>636</v>
      </c>
      <c r="B699" t="s">
        <v>819</v>
      </c>
      <c r="C699" t="s">
        <v>212</v>
      </c>
      <c r="D699" t="s">
        <v>369</v>
      </c>
      <c r="E699" t="s">
        <v>301</v>
      </c>
      <c r="F699" t="s">
        <v>1216</v>
      </c>
      <c r="G699" t="s">
        <v>1204</v>
      </c>
    </row>
    <row r="700" spans="1:7" x14ac:dyDescent="0.35">
      <c r="A700" t="s">
        <v>636</v>
      </c>
      <c r="B700" t="s">
        <v>820</v>
      </c>
      <c r="C700" t="s">
        <v>145</v>
      </c>
      <c r="D700" t="s">
        <v>369</v>
      </c>
      <c r="E700" t="s">
        <v>191</v>
      </c>
      <c r="F700" t="s">
        <v>1391</v>
      </c>
      <c r="G700" t="s">
        <v>1392</v>
      </c>
    </row>
    <row r="701" spans="1:7" x14ac:dyDescent="0.35">
      <c r="A701" t="s">
        <v>636</v>
      </c>
      <c r="B701" t="s">
        <v>821</v>
      </c>
      <c r="C701" t="s">
        <v>207</v>
      </c>
      <c r="D701" t="s">
        <v>369</v>
      </c>
      <c r="E701" t="s">
        <v>191</v>
      </c>
      <c r="F701" t="s">
        <v>1437</v>
      </c>
      <c r="G701" t="s">
        <v>1400</v>
      </c>
    </row>
    <row r="702" spans="1:7" x14ac:dyDescent="0.35">
      <c r="A702" t="s">
        <v>636</v>
      </c>
      <c r="B702" t="s">
        <v>822</v>
      </c>
      <c r="C702" t="s">
        <v>145</v>
      </c>
      <c r="D702" t="s">
        <v>369</v>
      </c>
      <c r="E702" t="s">
        <v>191</v>
      </c>
      <c r="F702" t="s">
        <v>1391</v>
      </c>
      <c r="G702" t="s">
        <v>1392</v>
      </c>
    </row>
    <row r="703" spans="1:7" x14ac:dyDescent="0.35">
      <c r="A703" t="s">
        <v>636</v>
      </c>
      <c r="B703" t="s">
        <v>1438</v>
      </c>
      <c r="C703" t="s">
        <v>145</v>
      </c>
      <c r="D703" t="s">
        <v>369</v>
      </c>
      <c r="E703" t="s">
        <v>191</v>
      </c>
      <c r="F703" t="s">
        <v>1201</v>
      </c>
      <c r="G703" t="s">
        <v>1202</v>
      </c>
    </row>
    <row r="704" spans="1:7" x14ac:dyDescent="0.35">
      <c r="A704" t="s">
        <v>636</v>
      </c>
      <c r="B704" t="s">
        <v>823</v>
      </c>
      <c r="C704" t="s">
        <v>207</v>
      </c>
      <c r="D704" t="s">
        <v>369</v>
      </c>
      <c r="E704" t="s">
        <v>191</v>
      </c>
      <c r="F704" t="s">
        <v>1201</v>
      </c>
      <c r="G704" t="s">
        <v>1202</v>
      </c>
    </row>
    <row r="705" spans="1:7" x14ac:dyDescent="0.35">
      <c r="A705" t="s">
        <v>636</v>
      </c>
      <c r="B705" t="s">
        <v>824</v>
      </c>
      <c r="C705" t="s">
        <v>145</v>
      </c>
      <c r="D705" t="s">
        <v>369</v>
      </c>
      <c r="E705" t="s">
        <v>191</v>
      </c>
      <c r="F705" t="s">
        <v>1207</v>
      </c>
      <c r="G705" t="s">
        <v>1208</v>
      </c>
    </row>
    <row r="706" spans="1:7" x14ac:dyDescent="0.35">
      <c r="A706" t="s">
        <v>636</v>
      </c>
      <c r="B706" t="s">
        <v>825</v>
      </c>
      <c r="C706" t="s">
        <v>145</v>
      </c>
      <c r="D706" t="s">
        <v>369</v>
      </c>
      <c r="E706" t="s">
        <v>191</v>
      </c>
      <c r="F706" t="s">
        <v>1209</v>
      </c>
      <c r="G706" t="s">
        <v>1208</v>
      </c>
    </row>
    <row r="707" spans="1:7" x14ac:dyDescent="0.35">
      <c r="A707" t="s">
        <v>636</v>
      </c>
      <c r="B707" t="s">
        <v>826</v>
      </c>
      <c r="C707" t="s">
        <v>207</v>
      </c>
      <c r="D707" t="s">
        <v>369</v>
      </c>
      <c r="E707" t="s">
        <v>191</v>
      </c>
      <c r="F707" t="s">
        <v>1407</v>
      </c>
      <c r="G707" t="s">
        <v>1408</v>
      </c>
    </row>
    <row r="708" spans="1:7" x14ac:dyDescent="0.35">
      <c r="A708" t="s">
        <v>636</v>
      </c>
      <c r="B708" t="s">
        <v>827</v>
      </c>
      <c r="C708" t="s">
        <v>145</v>
      </c>
      <c r="D708" t="s">
        <v>369</v>
      </c>
      <c r="E708" t="s">
        <v>191</v>
      </c>
      <c r="F708" t="s">
        <v>1439</v>
      </c>
      <c r="G708" t="s">
        <v>1440</v>
      </c>
    </row>
    <row r="709" spans="1:7" x14ac:dyDescent="0.35">
      <c r="A709" t="s">
        <v>636</v>
      </c>
      <c r="B709" t="s">
        <v>828</v>
      </c>
      <c r="C709" t="s">
        <v>207</v>
      </c>
      <c r="D709" t="s">
        <v>369</v>
      </c>
      <c r="E709" t="s">
        <v>191</v>
      </c>
      <c r="F709" t="s">
        <v>1224</v>
      </c>
      <c r="G709" t="s">
        <v>1396</v>
      </c>
    </row>
    <row r="710" spans="1:7" x14ac:dyDescent="0.35">
      <c r="A710" t="s">
        <v>636</v>
      </c>
      <c r="B710" t="s">
        <v>829</v>
      </c>
      <c r="C710" t="s">
        <v>145</v>
      </c>
      <c r="D710" t="s">
        <v>369</v>
      </c>
      <c r="E710" t="s">
        <v>191</v>
      </c>
      <c r="F710" t="s">
        <v>1219</v>
      </c>
      <c r="G710" t="s">
        <v>1220</v>
      </c>
    </row>
    <row r="711" spans="1:7" x14ac:dyDescent="0.35">
      <c r="A711" t="s">
        <v>636</v>
      </c>
      <c r="B711" t="s">
        <v>830</v>
      </c>
      <c r="C711" t="s">
        <v>145</v>
      </c>
      <c r="D711" t="s">
        <v>369</v>
      </c>
      <c r="E711" t="s">
        <v>191</v>
      </c>
      <c r="F711" t="s">
        <v>1426</v>
      </c>
      <c r="G711" t="s">
        <v>1427</v>
      </c>
    </row>
    <row r="712" spans="1:7" x14ac:dyDescent="0.35">
      <c r="A712" t="s">
        <v>636</v>
      </c>
      <c r="B712" t="s">
        <v>831</v>
      </c>
      <c r="C712" t="s">
        <v>145</v>
      </c>
      <c r="D712" t="s">
        <v>369</v>
      </c>
      <c r="E712" t="s">
        <v>191</v>
      </c>
      <c r="F712" t="s">
        <v>1426</v>
      </c>
      <c r="G712" t="s">
        <v>1427</v>
      </c>
    </row>
    <row r="713" spans="1:7" x14ac:dyDescent="0.35">
      <c r="A713" t="s">
        <v>636</v>
      </c>
      <c r="B713" t="s">
        <v>832</v>
      </c>
      <c r="C713" t="s">
        <v>145</v>
      </c>
      <c r="D713" t="s">
        <v>369</v>
      </c>
      <c r="E713" t="s">
        <v>191</v>
      </c>
      <c r="F713" t="s">
        <v>1401</v>
      </c>
      <c r="G713" t="s">
        <v>1441</v>
      </c>
    </row>
    <row r="714" spans="1:7" x14ac:dyDescent="0.35">
      <c r="A714" t="s">
        <v>636</v>
      </c>
      <c r="B714" t="s">
        <v>833</v>
      </c>
      <c r="C714" t="s">
        <v>145</v>
      </c>
      <c r="D714" t="s">
        <v>369</v>
      </c>
      <c r="E714" t="s">
        <v>196</v>
      </c>
      <c r="F714" t="s">
        <v>1426</v>
      </c>
      <c r="G714" t="s">
        <v>1427</v>
      </c>
    </row>
    <row r="715" spans="1:7" x14ac:dyDescent="0.35">
      <c r="A715" t="s">
        <v>636</v>
      </c>
      <c r="B715" t="s">
        <v>834</v>
      </c>
      <c r="C715" t="s">
        <v>145</v>
      </c>
      <c r="D715" t="s">
        <v>369</v>
      </c>
      <c r="E715" t="s">
        <v>196</v>
      </c>
      <c r="F715" t="s">
        <v>1203</v>
      </c>
      <c r="G715" t="s">
        <v>1204</v>
      </c>
    </row>
    <row r="716" spans="1:7" x14ac:dyDescent="0.35">
      <c r="A716" t="s">
        <v>636</v>
      </c>
      <c r="B716" t="s">
        <v>1442</v>
      </c>
      <c r="C716" t="s">
        <v>145</v>
      </c>
      <c r="D716" t="s">
        <v>369</v>
      </c>
      <c r="E716" t="s">
        <v>196</v>
      </c>
      <c r="F716" t="s">
        <v>1426</v>
      </c>
      <c r="G716" t="s">
        <v>1427</v>
      </c>
    </row>
    <row r="717" spans="1:7" x14ac:dyDescent="0.35">
      <c r="A717" t="s">
        <v>636</v>
      </c>
      <c r="B717" t="s">
        <v>1443</v>
      </c>
      <c r="C717" t="s">
        <v>145</v>
      </c>
      <c r="D717" t="s">
        <v>369</v>
      </c>
      <c r="E717" t="s">
        <v>196</v>
      </c>
      <c r="F717" t="s">
        <v>1224</v>
      </c>
      <c r="G717" t="s">
        <v>1225</v>
      </c>
    </row>
    <row r="718" spans="1:7" x14ac:dyDescent="0.35">
      <c r="A718" t="s">
        <v>636</v>
      </c>
      <c r="B718" t="s">
        <v>1444</v>
      </c>
      <c r="C718" t="s">
        <v>141</v>
      </c>
      <c r="D718" t="s">
        <v>369</v>
      </c>
      <c r="E718" t="s">
        <v>196</v>
      </c>
      <c r="F718" t="s">
        <v>1403</v>
      </c>
      <c r="G718" t="s">
        <v>1236</v>
      </c>
    </row>
    <row r="719" spans="1:7" x14ac:dyDescent="0.35">
      <c r="A719" t="s">
        <v>636</v>
      </c>
      <c r="B719" t="s">
        <v>1445</v>
      </c>
      <c r="C719" t="s">
        <v>145</v>
      </c>
      <c r="D719" t="s">
        <v>369</v>
      </c>
      <c r="E719" t="s">
        <v>196</v>
      </c>
      <c r="F719" t="s">
        <v>1203</v>
      </c>
      <c r="G719" t="s">
        <v>1204</v>
      </c>
    </row>
    <row r="720" spans="1:7" x14ac:dyDescent="0.35">
      <c r="A720" t="s">
        <v>636</v>
      </c>
      <c r="B720" t="s">
        <v>1446</v>
      </c>
      <c r="C720" t="s">
        <v>145</v>
      </c>
      <c r="D720" t="s">
        <v>369</v>
      </c>
      <c r="E720" t="s">
        <v>196</v>
      </c>
      <c r="F720" t="s">
        <v>1426</v>
      </c>
      <c r="G720" t="s">
        <v>1427</v>
      </c>
    </row>
    <row r="721" spans="1:7" x14ac:dyDescent="0.35">
      <c r="A721" t="s">
        <v>636</v>
      </c>
      <c r="B721" t="s">
        <v>1447</v>
      </c>
      <c r="C721" t="s">
        <v>145</v>
      </c>
      <c r="D721" t="s">
        <v>369</v>
      </c>
      <c r="E721" t="s">
        <v>196</v>
      </c>
      <c r="F721" t="s">
        <v>1401</v>
      </c>
      <c r="G721" t="s">
        <v>1402</v>
      </c>
    </row>
    <row r="722" spans="1:7" x14ac:dyDescent="0.35">
      <c r="A722" t="s">
        <v>636</v>
      </c>
      <c r="B722" t="s">
        <v>1448</v>
      </c>
      <c r="C722" t="s">
        <v>207</v>
      </c>
      <c r="D722" t="s">
        <v>369</v>
      </c>
      <c r="E722" t="s">
        <v>1117</v>
      </c>
      <c r="F722" t="s">
        <v>1201</v>
      </c>
      <c r="G722" t="s">
        <v>1202</v>
      </c>
    </row>
    <row r="723" spans="1:7" x14ac:dyDescent="0.35">
      <c r="A723" t="s">
        <v>636</v>
      </c>
      <c r="B723" t="s">
        <v>1449</v>
      </c>
      <c r="C723" t="s">
        <v>145</v>
      </c>
      <c r="D723" t="s">
        <v>369</v>
      </c>
      <c r="E723" t="s">
        <v>1117</v>
      </c>
      <c r="F723" t="s">
        <v>1450</v>
      </c>
      <c r="G723" t="s">
        <v>1451</v>
      </c>
    </row>
    <row r="724" spans="1:7" x14ac:dyDescent="0.35">
      <c r="A724" t="s">
        <v>636</v>
      </c>
      <c r="B724" t="s">
        <v>1452</v>
      </c>
      <c r="C724" t="s">
        <v>217</v>
      </c>
      <c r="D724" t="s">
        <v>369</v>
      </c>
      <c r="E724" t="s">
        <v>1117</v>
      </c>
      <c r="F724" t="s">
        <v>1401</v>
      </c>
      <c r="G724" t="s">
        <v>1402</v>
      </c>
    </row>
    <row r="725" spans="1:7" x14ac:dyDescent="0.35">
      <c r="A725" t="s">
        <v>636</v>
      </c>
      <c r="B725" t="s">
        <v>1453</v>
      </c>
      <c r="C725" t="s">
        <v>145</v>
      </c>
      <c r="D725" t="s">
        <v>369</v>
      </c>
      <c r="E725" t="s">
        <v>1117</v>
      </c>
      <c r="F725" t="s">
        <v>1454</v>
      </c>
      <c r="G725" t="s">
        <v>1455</v>
      </c>
    </row>
    <row r="726" spans="1:7" x14ac:dyDescent="0.35">
      <c r="A726" t="s">
        <v>636</v>
      </c>
      <c r="B726" t="s">
        <v>1456</v>
      </c>
      <c r="C726" t="s">
        <v>145</v>
      </c>
      <c r="D726" t="s">
        <v>369</v>
      </c>
      <c r="E726" t="s">
        <v>1117</v>
      </c>
      <c r="F726" t="s">
        <v>1389</v>
      </c>
      <c r="G726" t="s">
        <v>1390</v>
      </c>
    </row>
    <row r="727" spans="1:7" x14ac:dyDescent="0.35">
      <c r="A727" t="s">
        <v>636</v>
      </c>
      <c r="B727" t="s">
        <v>1457</v>
      </c>
      <c r="C727" t="s">
        <v>207</v>
      </c>
      <c r="D727" t="s">
        <v>369</v>
      </c>
      <c r="E727" t="s">
        <v>1117</v>
      </c>
      <c r="F727" t="s">
        <v>1219</v>
      </c>
      <c r="G727" t="s">
        <v>1220</v>
      </c>
    </row>
    <row r="728" spans="1:7" x14ac:dyDescent="0.35">
      <c r="A728" t="s">
        <v>636</v>
      </c>
      <c r="B728" t="s">
        <v>1458</v>
      </c>
      <c r="C728" t="s">
        <v>141</v>
      </c>
      <c r="D728" t="s">
        <v>369</v>
      </c>
      <c r="E728" t="s">
        <v>1117</v>
      </c>
      <c r="F728" t="s">
        <v>1423</v>
      </c>
      <c r="G728" t="s">
        <v>1424</v>
      </c>
    </row>
    <row r="729" spans="1:7" x14ac:dyDescent="0.35">
      <c r="A729" t="s">
        <v>636</v>
      </c>
      <c r="B729" t="s">
        <v>1459</v>
      </c>
      <c r="C729" t="s">
        <v>145</v>
      </c>
      <c r="D729" t="s">
        <v>369</v>
      </c>
      <c r="E729" t="s">
        <v>1117</v>
      </c>
      <c r="F729" t="s">
        <v>1391</v>
      </c>
      <c r="G729" t="s">
        <v>1392</v>
      </c>
    </row>
    <row r="730" spans="1:7" x14ac:dyDescent="0.35">
      <c r="A730" t="s">
        <v>636</v>
      </c>
      <c r="B730" t="s">
        <v>1460</v>
      </c>
      <c r="C730" t="s">
        <v>145</v>
      </c>
      <c r="D730" t="s">
        <v>369</v>
      </c>
      <c r="E730" t="s">
        <v>1117</v>
      </c>
      <c r="F730" t="s">
        <v>1391</v>
      </c>
      <c r="G730" t="s">
        <v>1392</v>
      </c>
    </row>
    <row r="731" spans="1:7" x14ac:dyDescent="0.35">
      <c r="A731" t="s">
        <v>636</v>
      </c>
      <c r="B731" t="s">
        <v>1461</v>
      </c>
      <c r="C731" t="s">
        <v>207</v>
      </c>
      <c r="D731" t="s">
        <v>369</v>
      </c>
      <c r="E731" t="s">
        <v>1164</v>
      </c>
      <c r="F731" t="s">
        <v>1407</v>
      </c>
      <c r="G731" t="s">
        <v>1408</v>
      </c>
    </row>
    <row r="732" spans="1:7" x14ac:dyDescent="0.35">
      <c r="A732" t="s">
        <v>636</v>
      </c>
      <c r="B732" t="s">
        <v>835</v>
      </c>
      <c r="C732" t="s">
        <v>312</v>
      </c>
      <c r="D732" t="s">
        <v>369</v>
      </c>
      <c r="E732" t="s">
        <v>149</v>
      </c>
      <c r="F732" t="s">
        <v>1462</v>
      </c>
      <c r="G732" t="s">
        <v>1463</v>
      </c>
    </row>
    <row r="733" spans="1:7" x14ac:dyDescent="0.35">
      <c r="A733" t="s">
        <v>636</v>
      </c>
      <c r="B733" t="s">
        <v>836</v>
      </c>
      <c r="C733" t="s">
        <v>473</v>
      </c>
      <c r="D733" t="s">
        <v>369</v>
      </c>
      <c r="E733" t="s">
        <v>156</v>
      </c>
      <c r="F733" t="s">
        <v>1401</v>
      </c>
      <c r="G733" t="s">
        <v>1402</v>
      </c>
    </row>
    <row r="734" spans="1:7" x14ac:dyDescent="0.35">
      <c r="A734" t="s">
        <v>636</v>
      </c>
      <c r="B734" t="s">
        <v>837</v>
      </c>
      <c r="C734" t="s">
        <v>312</v>
      </c>
      <c r="D734" t="s">
        <v>369</v>
      </c>
      <c r="E734" t="s">
        <v>167</v>
      </c>
      <c r="F734" t="s">
        <v>1423</v>
      </c>
      <c r="G734" t="s">
        <v>1424</v>
      </c>
    </row>
    <row r="735" spans="1:7" x14ac:dyDescent="0.35">
      <c r="A735" t="s">
        <v>636</v>
      </c>
      <c r="B735" t="s">
        <v>838</v>
      </c>
      <c r="C735" t="s">
        <v>839</v>
      </c>
      <c r="D735" t="s">
        <v>369</v>
      </c>
      <c r="E735" t="s">
        <v>173</v>
      </c>
      <c r="F735" t="s">
        <v>1462</v>
      </c>
      <c r="G735" t="s">
        <v>1463</v>
      </c>
    </row>
    <row r="736" spans="1:7" x14ac:dyDescent="0.35">
      <c r="A736" t="s">
        <v>636</v>
      </c>
      <c r="B736" t="s">
        <v>840</v>
      </c>
      <c r="C736" t="s">
        <v>841</v>
      </c>
      <c r="D736" t="s">
        <v>369</v>
      </c>
      <c r="E736" t="s">
        <v>191</v>
      </c>
      <c r="F736" t="s">
        <v>1450</v>
      </c>
      <c r="G736" t="s">
        <v>1451</v>
      </c>
    </row>
    <row r="737" spans="1:7" x14ac:dyDescent="0.35">
      <c r="A737" t="s">
        <v>636</v>
      </c>
      <c r="B737" t="s">
        <v>842</v>
      </c>
      <c r="C737" t="s">
        <v>843</v>
      </c>
      <c r="D737" t="s">
        <v>369</v>
      </c>
      <c r="E737" t="s">
        <v>156</v>
      </c>
    </row>
    <row r="738" spans="1:7" x14ac:dyDescent="0.35">
      <c r="A738" t="s">
        <v>636</v>
      </c>
      <c r="B738" t="s">
        <v>844</v>
      </c>
      <c r="C738" t="s">
        <v>145</v>
      </c>
      <c r="D738" t="s">
        <v>369</v>
      </c>
      <c r="E738" t="s">
        <v>167</v>
      </c>
    </row>
    <row r="739" spans="1:7" x14ac:dyDescent="0.35">
      <c r="A739" t="s">
        <v>636</v>
      </c>
      <c r="B739" t="s">
        <v>845</v>
      </c>
      <c r="C739" t="s">
        <v>145</v>
      </c>
      <c r="D739" t="s">
        <v>369</v>
      </c>
      <c r="E739" t="s">
        <v>183</v>
      </c>
    </row>
    <row r="740" spans="1:7" x14ac:dyDescent="0.35">
      <c r="A740" t="s">
        <v>636</v>
      </c>
      <c r="B740" t="s">
        <v>846</v>
      </c>
      <c r="C740" t="s">
        <v>141</v>
      </c>
      <c r="D740" t="s">
        <v>209</v>
      </c>
      <c r="E740" t="s">
        <v>189</v>
      </c>
      <c r="F740" t="s">
        <v>1464</v>
      </c>
      <c r="G740" t="s">
        <v>1465</v>
      </c>
    </row>
    <row r="741" spans="1:7" x14ac:dyDescent="0.35">
      <c r="A741" t="s">
        <v>636</v>
      </c>
      <c r="B741" t="s">
        <v>847</v>
      </c>
      <c r="C741" t="s">
        <v>239</v>
      </c>
      <c r="D741" t="s">
        <v>447</v>
      </c>
      <c r="E741" t="s">
        <v>149</v>
      </c>
      <c r="F741" t="s">
        <v>1241</v>
      </c>
      <c r="G741" t="s">
        <v>1466</v>
      </c>
    </row>
    <row r="742" spans="1:7" x14ac:dyDescent="0.35">
      <c r="A742" t="s">
        <v>636</v>
      </c>
      <c r="B742" t="s">
        <v>848</v>
      </c>
      <c r="C742" t="s">
        <v>217</v>
      </c>
      <c r="D742" t="s">
        <v>447</v>
      </c>
      <c r="E742" t="s">
        <v>162</v>
      </c>
      <c r="F742" t="s">
        <v>1467</v>
      </c>
      <c r="G742" t="s">
        <v>1468</v>
      </c>
    </row>
    <row r="743" spans="1:7" x14ac:dyDescent="0.35">
      <c r="A743" t="s">
        <v>636</v>
      </c>
      <c r="B743" t="s">
        <v>849</v>
      </c>
      <c r="C743" t="s">
        <v>239</v>
      </c>
      <c r="D743" t="s">
        <v>447</v>
      </c>
      <c r="E743" t="s">
        <v>170</v>
      </c>
      <c r="F743" t="s">
        <v>1241</v>
      </c>
      <c r="G743" t="s">
        <v>1466</v>
      </c>
    </row>
    <row r="744" spans="1:7" x14ac:dyDescent="0.35">
      <c r="A744" t="s">
        <v>636</v>
      </c>
      <c r="B744" t="s">
        <v>850</v>
      </c>
      <c r="C744" t="s">
        <v>145</v>
      </c>
      <c r="D744" t="s">
        <v>447</v>
      </c>
      <c r="E744" t="s">
        <v>178</v>
      </c>
      <c r="F744" t="s">
        <v>1248</v>
      </c>
      <c r="G744" t="s">
        <v>1469</v>
      </c>
    </row>
    <row r="745" spans="1:7" x14ac:dyDescent="0.35">
      <c r="A745" t="s">
        <v>636</v>
      </c>
      <c r="B745" t="s">
        <v>851</v>
      </c>
      <c r="C745" t="s">
        <v>217</v>
      </c>
      <c r="D745" t="s">
        <v>447</v>
      </c>
      <c r="E745" t="s">
        <v>189</v>
      </c>
      <c r="F745" t="s">
        <v>1241</v>
      </c>
      <c r="G745" t="s">
        <v>1466</v>
      </c>
    </row>
    <row r="746" spans="1:7" x14ac:dyDescent="0.35">
      <c r="A746" t="s">
        <v>636</v>
      </c>
      <c r="B746" t="s">
        <v>852</v>
      </c>
      <c r="C746" t="s">
        <v>145</v>
      </c>
      <c r="D746" t="s">
        <v>618</v>
      </c>
      <c r="E746" t="s">
        <v>156</v>
      </c>
      <c r="F746" t="s">
        <v>1470</v>
      </c>
      <c r="G746" t="s">
        <v>1471</v>
      </c>
    </row>
    <row r="747" spans="1:7" x14ac:dyDescent="0.35">
      <c r="A747" t="s">
        <v>636</v>
      </c>
      <c r="B747" t="s">
        <v>853</v>
      </c>
      <c r="C747" t="s">
        <v>145</v>
      </c>
      <c r="D747" t="s">
        <v>618</v>
      </c>
      <c r="E747" t="s">
        <v>356</v>
      </c>
      <c r="F747" t="s">
        <v>1472</v>
      </c>
      <c r="G747" t="s">
        <v>1473</v>
      </c>
    </row>
    <row r="748" spans="1:7" x14ac:dyDescent="0.35">
      <c r="A748" t="s">
        <v>636</v>
      </c>
      <c r="B748" t="s">
        <v>854</v>
      </c>
      <c r="C748" t="s">
        <v>145</v>
      </c>
      <c r="D748" t="s">
        <v>618</v>
      </c>
      <c r="E748" t="s">
        <v>170</v>
      </c>
      <c r="F748" t="s">
        <v>1339</v>
      </c>
      <c r="G748" t="s">
        <v>1340</v>
      </c>
    </row>
    <row r="749" spans="1:7" x14ac:dyDescent="0.35">
      <c r="A749" t="s">
        <v>636</v>
      </c>
      <c r="B749" t="s">
        <v>855</v>
      </c>
      <c r="C749" t="s">
        <v>145</v>
      </c>
      <c r="D749" t="s">
        <v>618</v>
      </c>
      <c r="E749" t="s">
        <v>173</v>
      </c>
      <c r="F749" t="s">
        <v>1339</v>
      </c>
      <c r="G749" t="s">
        <v>1340</v>
      </c>
    </row>
    <row r="750" spans="1:7" x14ac:dyDescent="0.35">
      <c r="A750" t="s">
        <v>636</v>
      </c>
      <c r="B750" t="s">
        <v>856</v>
      </c>
      <c r="C750" t="s">
        <v>145</v>
      </c>
      <c r="D750" t="s">
        <v>618</v>
      </c>
      <c r="E750" t="s">
        <v>178</v>
      </c>
      <c r="F750" t="s">
        <v>1470</v>
      </c>
      <c r="G750" t="s">
        <v>1471</v>
      </c>
    </row>
    <row r="751" spans="1:7" x14ac:dyDescent="0.35">
      <c r="A751" t="s">
        <v>636</v>
      </c>
      <c r="B751" t="s">
        <v>1474</v>
      </c>
      <c r="C751" t="s">
        <v>141</v>
      </c>
      <c r="D751" t="s">
        <v>618</v>
      </c>
      <c r="E751" t="s">
        <v>1117</v>
      </c>
      <c r="F751" t="s">
        <v>1470</v>
      </c>
      <c r="G751" t="s">
        <v>1471</v>
      </c>
    </row>
    <row r="752" spans="1:7" x14ac:dyDescent="0.35">
      <c r="A752" t="s">
        <v>636</v>
      </c>
      <c r="B752" t="s">
        <v>1475</v>
      </c>
      <c r="C752" t="s">
        <v>145</v>
      </c>
      <c r="D752" t="s">
        <v>618</v>
      </c>
      <c r="E752" t="s">
        <v>1164</v>
      </c>
      <c r="F752" t="s">
        <v>1470</v>
      </c>
      <c r="G752" t="s">
        <v>1471</v>
      </c>
    </row>
    <row r="753" spans="1:7" x14ac:dyDescent="0.35">
      <c r="A753" t="s">
        <v>636</v>
      </c>
      <c r="B753" t="s">
        <v>857</v>
      </c>
      <c r="C753" t="s">
        <v>145</v>
      </c>
      <c r="D753" t="s">
        <v>475</v>
      </c>
      <c r="E753" t="s">
        <v>143</v>
      </c>
      <c r="F753" t="s">
        <v>1258</v>
      </c>
      <c r="G753" t="s">
        <v>1476</v>
      </c>
    </row>
    <row r="754" spans="1:7" x14ac:dyDescent="0.35">
      <c r="A754" t="s">
        <v>636</v>
      </c>
      <c r="B754" t="s">
        <v>858</v>
      </c>
      <c r="C754" t="s">
        <v>145</v>
      </c>
      <c r="D754" t="s">
        <v>475</v>
      </c>
      <c r="E754" t="s">
        <v>149</v>
      </c>
      <c r="F754" t="s">
        <v>1258</v>
      </c>
      <c r="G754" t="s">
        <v>1476</v>
      </c>
    </row>
    <row r="755" spans="1:7" x14ac:dyDescent="0.35">
      <c r="A755" t="s">
        <v>636</v>
      </c>
      <c r="B755" t="s">
        <v>859</v>
      </c>
      <c r="C755" t="s">
        <v>217</v>
      </c>
      <c r="D755" t="s">
        <v>475</v>
      </c>
      <c r="E755" t="s">
        <v>149</v>
      </c>
      <c r="F755" t="s">
        <v>1258</v>
      </c>
      <c r="G755" t="s">
        <v>1259</v>
      </c>
    </row>
    <row r="756" spans="1:7" x14ac:dyDescent="0.35">
      <c r="A756" t="s">
        <v>636</v>
      </c>
      <c r="B756" t="s">
        <v>860</v>
      </c>
      <c r="C756" t="s">
        <v>145</v>
      </c>
      <c r="D756" t="s">
        <v>475</v>
      </c>
      <c r="E756" t="s">
        <v>153</v>
      </c>
      <c r="F756" t="s">
        <v>1258</v>
      </c>
      <c r="G756" t="s">
        <v>1476</v>
      </c>
    </row>
    <row r="757" spans="1:7" x14ac:dyDescent="0.35">
      <c r="A757" t="s">
        <v>636</v>
      </c>
      <c r="B757" t="s">
        <v>861</v>
      </c>
      <c r="C757" t="s">
        <v>217</v>
      </c>
      <c r="D757" t="s">
        <v>475</v>
      </c>
      <c r="E757" t="s">
        <v>162</v>
      </c>
      <c r="F757" t="s">
        <v>1258</v>
      </c>
      <c r="G757" t="s">
        <v>1476</v>
      </c>
    </row>
    <row r="758" spans="1:7" x14ac:dyDescent="0.35">
      <c r="A758" t="s">
        <v>636</v>
      </c>
      <c r="B758" t="s">
        <v>862</v>
      </c>
      <c r="C758" t="s">
        <v>145</v>
      </c>
      <c r="D758" t="s">
        <v>475</v>
      </c>
      <c r="E758" t="s">
        <v>165</v>
      </c>
      <c r="F758" t="s">
        <v>1258</v>
      </c>
      <c r="G758" t="s">
        <v>1476</v>
      </c>
    </row>
    <row r="759" spans="1:7" x14ac:dyDescent="0.35">
      <c r="A759" t="s">
        <v>636</v>
      </c>
      <c r="B759" t="s">
        <v>863</v>
      </c>
      <c r="C759" t="s">
        <v>145</v>
      </c>
      <c r="D759" t="s">
        <v>475</v>
      </c>
      <c r="E759" t="s">
        <v>167</v>
      </c>
      <c r="F759" t="s">
        <v>1258</v>
      </c>
      <c r="G759" t="s">
        <v>1259</v>
      </c>
    </row>
    <row r="760" spans="1:7" x14ac:dyDescent="0.35">
      <c r="A760" t="s">
        <v>636</v>
      </c>
      <c r="B760" t="s">
        <v>864</v>
      </c>
      <c r="C760" t="s">
        <v>145</v>
      </c>
      <c r="D760" t="s">
        <v>475</v>
      </c>
      <c r="E760" t="s">
        <v>167</v>
      </c>
      <c r="F760" t="s">
        <v>1258</v>
      </c>
      <c r="G760" t="s">
        <v>1476</v>
      </c>
    </row>
    <row r="761" spans="1:7" x14ac:dyDescent="0.35">
      <c r="A761" t="s">
        <v>636</v>
      </c>
      <c r="B761" t="s">
        <v>865</v>
      </c>
      <c r="C761" t="s">
        <v>145</v>
      </c>
      <c r="D761" t="s">
        <v>475</v>
      </c>
      <c r="E761" t="s">
        <v>178</v>
      </c>
      <c r="F761" t="s">
        <v>1258</v>
      </c>
      <c r="G761" t="s">
        <v>1259</v>
      </c>
    </row>
    <row r="762" spans="1:7" x14ac:dyDescent="0.35">
      <c r="A762" t="s">
        <v>636</v>
      </c>
      <c r="B762" t="s">
        <v>866</v>
      </c>
      <c r="C762" t="s">
        <v>145</v>
      </c>
      <c r="D762" t="s">
        <v>475</v>
      </c>
      <c r="E762" t="s">
        <v>178</v>
      </c>
      <c r="F762" t="s">
        <v>1258</v>
      </c>
      <c r="G762" t="s">
        <v>1259</v>
      </c>
    </row>
    <row r="763" spans="1:7" x14ac:dyDescent="0.35">
      <c r="A763" t="s">
        <v>636</v>
      </c>
      <c r="B763" t="s">
        <v>867</v>
      </c>
      <c r="C763" t="s">
        <v>145</v>
      </c>
      <c r="D763" t="s">
        <v>475</v>
      </c>
      <c r="E763" t="s">
        <v>183</v>
      </c>
      <c r="F763" t="s">
        <v>1258</v>
      </c>
      <c r="G763" t="s">
        <v>1259</v>
      </c>
    </row>
    <row r="764" spans="1:7" x14ac:dyDescent="0.35">
      <c r="A764" t="s">
        <v>636</v>
      </c>
      <c r="B764" t="s">
        <v>868</v>
      </c>
      <c r="C764" t="s">
        <v>145</v>
      </c>
      <c r="D764" t="s">
        <v>475</v>
      </c>
      <c r="E764" t="s">
        <v>183</v>
      </c>
      <c r="F764" t="s">
        <v>1258</v>
      </c>
      <c r="G764" t="s">
        <v>1259</v>
      </c>
    </row>
    <row r="765" spans="1:7" x14ac:dyDescent="0.35">
      <c r="A765" t="s">
        <v>636</v>
      </c>
      <c r="B765" t="s">
        <v>869</v>
      </c>
      <c r="C765" t="s">
        <v>239</v>
      </c>
      <c r="D765" t="s">
        <v>475</v>
      </c>
      <c r="E765" t="s">
        <v>183</v>
      </c>
      <c r="F765" t="s">
        <v>1258</v>
      </c>
      <c r="G765" t="s">
        <v>1259</v>
      </c>
    </row>
    <row r="766" spans="1:7" x14ac:dyDescent="0.35">
      <c r="A766" t="s">
        <v>636</v>
      </c>
      <c r="B766" t="s">
        <v>1477</v>
      </c>
      <c r="C766" t="s">
        <v>239</v>
      </c>
      <c r="D766" t="s">
        <v>475</v>
      </c>
      <c r="E766" t="s">
        <v>183</v>
      </c>
      <c r="F766" t="s">
        <v>1258</v>
      </c>
      <c r="G766" t="s">
        <v>1259</v>
      </c>
    </row>
    <row r="767" spans="1:7" x14ac:dyDescent="0.35">
      <c r="A767" t="s">
        <v>636</v>
      </c>
      <c r="B767" t="s">
        <v>870</v>
      </c>
      <c r="C767" t="s">
        <v>145</v>
      </c>
      <c r="D767" t="s">
        <v>475</v>
      </c>
      <c r="E767" t="s">
        <v>189</v>
      </c>
      <c r="F767" t="s">
        <v>1258</v>
      </c>
      <c r="G767" t="s">
        <v>1259</v>
      </c>
    </row>
    <row r="768" spans="1:7" x14ac:dyDescent="0.35">
      <c r="A768" t="s">
        <v>636</v>
      </c>
      <c r="B768" t="s">
        <v>871</v>
      </c>
      <c r="C768" t="s">
        <v>145</v>
      </c>
      <c r="D768" t="s">
        <v>475</v>
      </c>
      <c r="E768" t="s">
        <v>191</v>
      </c>
      <c r="F768" t="s">
        <v>1258</v>
      </c>
      <c r="G768" t="s">
        <v>1476</v>
      </c>
    </row>
    <row r="769" spans="1:7" x14ac:dyDescent="0.35">
      <c r="A769" t="s">
        <v>636</v>
      </c>
      <c r="B769" t="s">
        <v>1478</v>
      </c>
      <c r="C769" t="s">
        <v>145</v>
      </c>
      <c r="D769" t="s">
        <v>475</v>
      </c>
      <c r="E769" t="s">
        <v>191</v>
      </c>
      <c r="F769" t="s">
        <v>1258</v>
      </c>
      <c r="G769" t="s">
        <v>1259</v>
      </c>
    </row>
    <row r="770" spans="1:7" x14ac:dyDescent="0.35">
      <c r="A770" t="s">
        <v>636</v>
      </c>
      <c r="B770" t="s">
        <v>1479</v>
      </c>
      <c r="C770" t="s">
        <v>217</v>
      </c>
      <c r="D770" t="s">
        <v>475</v>
      </c>
      <c r="E770" t="s">
        <v>196</v>
      </c>
      <c r="F770" t="s">
        <v>1258</v>
      </c>
      <c r="G770" t="s">
        <v>1259</v>
      </c>
    </row>
    <row r="771" spans="1:7" x14ac:dyDescent="0.35">
      <c r="A771" t="s">
        <v>636</v>
      </c>
      <c r="B771" t="s">
        <v>1480</v>
      </c>
      <c r="C771" t="s">
        <v>239</v>
      </c>
      <c r="D771" t="s">
        <v>475</v>
      </c>
      <c r="E771" t="s">
        <v>1117</v>
      </c>
      <c r="F771" t="s">
        <v>1258</v>
      </c>
      <c r="G771" t="s">
        <v>1259</v>
      </c>
    </row>
    <row r="772" spans="1:7" x14ac:dyDescent="0.35">
      <c r="A772" t="s">
        <v>636</v>
      </c>
      <c r="B772" t="s">
        <v>1481</v>
      </c>
      <c r="C772" t="s">
        <v>145</v>
      </c>
      <c r="D772" t="s">
        <v>475</v>
      </c>
      <c r="E772" t="s">
        <v>1164</v>
      </c>
      <c r="F772" t="s">
        <v>1258</v>
      </c>
      <c r="G772" t="s">
        <v>1259</v>
      </c>
    </row>
    <row r="773" spans="1:7" x14ac:dyDescent="0.35">
      <c r="A773" t="s">
        <v>636</v>
      </c>
      <c r="B773" t="s">
        <v>872</v>
      </c>
      <c r="C773" t="s">
        <v>145</v>
      </c>
      <c r="D773" t="s">
        <v>475</v>
      </c>
      <c r="E773" t="s">
        <v>170</v>
      </c>
    </row>
    <row r="774" spans="1:7" x14ac:dyDescent="0.35">
      <c r="A774" t="s">
        <v>636</v>
      </c>
      <c r="B774" t="s">
        <v>873</v>
      </c>
      <c r="C774" t="s">
        <v>141</v>
      </c>
      <c r="D774" t="s">
        <v>489</v>
      </c>
      <c r="E774" t="s">
        <v>149</v>
      </c>
      <c r="F774" t="s">
        <v>1482</v>
      </c>
      <c r="G774" t="s">
        <v>1483</v>
      </c>
    </row>
    <row r="775" spans="1:7" x14ac:dyDescent="0.35">
      <c r="A775" t="s">
        <v>636</v>
      </c>
      <c r="B775" t="s">
        <v>874</v>
      </c>
      <c r="C775" t="s">
        <v>145</v>
      </c>
      <c r="D775" t="s">
        <v>489</v>
      </c>
      <c r="E775" t="s">
        <v>183</v>
      </c>
      <c r="F775" t="s">
        <v>1482</v>
      </c>
      <c r="G775" t="s">
        <v>1483</v>
      </c>
    </row>
    <row r="776" spans="1:7" x14ac:dyDescent="0.35">
      <c r="A776" t="s">
        <v>636</v>
      </c>
      <c r="B776" t="s">
        <v>875</v>
      </c>
      <c r="C776" t="s">
        <v>145</v>
      </c>
      <c r="D776" t="s">
        <v>213</v>
      </c>
      <c r="E776" t="s">
        <v>214</v>
      </c>
      <c r="F776" t="s">
        <v>1143</v>
      </c>
      <c r="G776" t="s">
        <v>1144</v>
      </c>
    </row>
    <row r="777" spans="1:7" x14ac:dyDescent="0.35">
      <c r="A777" t="s">
        <v>636</v>
      </c>
      <c r="B777" t="s">
        <v>876</v>
      </c>
      <c r="C777" t="s">
        <v>145</v>
      </c>
      <c r="D777" t="s">
        <v>213</v>
      </c>
      <c r="E777" t="s">
        <v>214</v>
      </c>
      <c r="F777" t="s">
        <v>1143</v>
      </c>
      <c r="G777" t="s">
        <v>1144</v>
      </c>
    </row>
    <row r="778" spans="1:7" x14ac:dyDescent="0.35">
      <c r="A778" t="s">
        <v>636</v>
      </c>
      <c r="B778" t="s">
        <v>877</v>
      </c>
      <c r="C778" t="s">
        <v>145</v>
      </c>
      <c r="D778" t="s">
        <v>213</v>
      </c>
      <c r="E778" t="s">
        <v>214</v>
      </c>
      <c r="F778" t="s">
        <v>1143</v>
      </c>
      <c r="G778" t="s">
        <v>1144</v>
      </c>
    </row>
    <row r="779" spans="1:7" x14ac:dyDescent="0.35">
      <c r="A779" t="s">
        <v>636</v>
      </c>
      <c r="B779" t="s">
        <v>878</v>
      </c>
      <c r="C779" t="s">
        <v>145</v>
      </c>
      <c r="D779" t="s">
        <v>213</v>
      </c>
      <c r="E779" t="s">
        <v>143</v>
      </c>
      <c r="F779" t="s">
        <v>1143</v>
      </c>
      <c r="G779" t="s">
        <v>1144</v>
      </c>
    </row>
    <row r="780" spans="1:7" x14ac:dyDescent="0.35">
      <c r="A780" t="s">
        <v>636</v>
      </c>
      <c r="B780" t="s">
        <v>879</v>
      </c>
      <c r="C780" t="s">
        <v>145</v>
      </c>
      <c r="D780" t="s">
        <v>213</v>
      </c>
      <c r="E780" t="s">
        <v>143</v>
      </c>
      <c r="F780" t="s">
        <v>1143</v>
      </c>
      <c r="G780" t="s">
        <v>1144</v>
      </c>
    </row>
    <row r="781" spans="1:7" x14ac:dyDescent="0.35">
      <c r="A781" t="s">
        <v>636</v>
      </c>
      <c r="B781" t="s">
        <v>880</v>
      </c>
      <c r="C781" t="s">
        <v>217</v>
      </c>
      <c r="D781" t="s">
        <v>213</v>
      </c>
      <c r="E781" t="s">
        <v>143</v>
      </c>
      <c r="F781" t="s">
        <v>1484</v>
      </c>
      <c r="G781" t="s">
        <v>1485</v>
      </c>
    </row>
    <row r="782" spans="1:7" x14ac:dyDescent="0.35">
      <c r="A782" t="s">
        <v>636</v>
      </c>
      <c r="B782" t="s">
        <v>881</v>
      </c>
      <c r="C782" t="s">
        <v>141</v>
      </c>
      <c r="D782" t="s">
        <v>213</v>
      </c>
      <c r="E782" t="s">
        <v>149</v>
      </c>
      <c r="F782" t="s">
        <v>1486</v>
      </c>
      <c r="G782" t="s">
        <v>1487</v>
      </c>
    </row>
    <row r="783" spans="1:7" x14ac:dyDescent="0.35">
      <c r="A783" t="s">
        <v>636</v>
      </c>
      <c r="B783" t="s">
        <v>882</v>
      </c>
      <c r="C783" t="s">
        <v>145</v>
      </c>
      <c r="D783" t="s">
        <v>213</v>
      </c>
      <c r="E783" t="s">
        <v>153</v>
      </c>
      <c r="F783" t="s">
        <v>1488</v>
      </c>
      <c r="G783" t="s">
        <v>1489</v>
      </c>
    </row>
    <row r="784" spans="1:7" x14ac:dyDescent="0.35">
      <c r="A784" t="s">
        <v>636</v>
      </c>
      <c r="B784" t="s">
        <v>883</v>
      </c>
      <c r="C784" t="s">
        <v>141</v>
      </c>
      <c r="D784" t="s">
        <v>213</v>
      </c>
      <c r="E784" t="s">
        <v>153</v>
      </c>
      <c r="F784" t="s">
        <v>1490</v>
      </c>
      <c r="G784" t="s">
        <v>1148</v>
      </c>
    </row>
    <row r="785" spans="1:7" x14ac:dyDescent="0.35">
      <c r="A785" t="s">
        <v>636</v>
      </c>
      <c r="B785" t="s">
        <v>884</v>
      </c>
      <c r="C785" t="s">
        <v>141</v>
      </c>
      <c r="D785" t="s">
        <v>213</v>
      </c>
      <c r="E785" t="s">
        <v>153</v>
      </c>
      <c r="F785" t="s">
        <v>1491</v>
      </c>
      <c r="G785" t="s">
        <v>1492</v>
      </c>
    </row>
    <row r="786" spans="1:7" x14ac:dyDescent="0.35">
      <c r="A786" t="s">
        <v>636</v>
      </c>
      <c r="B786" t="s">
        <v>885</v>
      </c>
      <c r="C786" t="s">
        <v>141</v>
      </c>
      <c r="D786" t="s">
        <v>213</v>
      </c>
      <c r="E786" t="s">
        <v>153</v>
      </c>
      <c r="F786" t="s">
        <v>1128</v>
      </c>
      <c r="G786" t="s">
        <v>1134</v>
      </c>
    </row>
    <row r="787" spans="1:7" x14ac:dyDescent="0.35">
      <c r="A787" t="s">
        <v>636</v>
      </c>
      <c r="B787" t="s">
        <v>886</v>
      </c>
      <c r="C787" t="s">
        <v>141</v>
      </c>
      <c r="D787" t="s">
        <v>213</v>
      </c>
      <c r="E787" t="s">
        <v>153</v>
      </c>
      <c r="F787" t="s">
        <v>1491</v>
      </c>
      <c r="G787" t="s">
        <v>1492</v>
      </c>
    </row>
    <row r="788" spans="1:7" x14ac:dyDescent="0.35">
      <c r="A788" t="s">
        <v>636</v>
      </c>
      <c r="B788" t="s">
        <v>887</v>
      </c>
      <c r="C788" t="s">
        <v>141</v>
      </c>
      <c r="D788" t="s">
        <v>213</v>
      </c>
      <c r="E788" t="s">
        <v>156</v>
      </c>
      <c r="F788" t="s">
        <v>1491</v>
      </c>
      <c r="G788" t="s">
        <v>1492</v>
      </c>
    </row>
    <row r="789" spans="1:7" x14ac:dyDescent="0.35">
      <c r="A789" t="s">
        <v>636</v>
      </c>
      <c r="B789" t="s">
        <v>888</v>
      </c>
      <c r="C789" t="s">
        <v>145</v>
      </c>
      <c r="D789" t="s">
        <v>213</v>
      </c>
      <c r="E789" t="s">
        <v>156</v>
      </c>
      <c r="F789" t="s">
        <v>1491</v>
      </c>
      <c r="G789" t="s">
        <v>1492</v>
      </c>
    </row>
    <row r="790" spans="1:7" x14ac:dyDescent="0.35">
      <c r="A790" t="s">
        <v>636</v>
      </c>
      <c r="B790" t="s">
        <v>889</v>
      </c>
      <c r="C790" t="s">
        <v>141</v>
      </c>
      <c r="D790" t="s">
        <v>213</v>
      </c>
      <c r="E790" t="s">
        <v>156</v>
      </c>
      <c r="F790" t="s">
        <v>1491</v>
      </c>
      <c r="G790" t="s">
        <v>1492</v>
      </c>
    </row>
    <row r="791" spans="1:7" x14ac:dyDescent="0.35">
      <c r="A791" t="s">
        <v>636</v>
      </c>
      <c r="B791" t="s">
        <v>890</v>
      </c>
      <c r="C791" t="s">
        <v>145</v>
      </c>
      <c r="D791" t="s">
        <v>213</v>
      </c>
      <c r="E791" t="s">
        <v>162</v>
      </c>
      <c r="F791" t="s">
        <v>1371</v>
      </c>
      <c r="G791" t="s">
        <v>1493</v>
      </c>
    </row>
    <row r="792" spans="1:7" x14ac:dyDescent="0.35">
      <c r="A792" t="s">
        <v>636</v>
      </c>
      <c r="B792" t="s">
        <v>891</v>
      </c>
      <c r="C792" t="s">
        <v>145</v>
      </c>
      <c r="D792" t="s">
        <v>213</v>
      </c>
      <c r="E792" t="s">
        <v>162</v>
      </c>
      <c r="F792" t="s">
        <v>1494</v>
      </c>
      <c r="G792" t="s">
        <v>1495</v>
      </c>
    </row>
    <row r="793" spans="1:7" x14ac:dyDescent="0.35">
      <c r="A793" t="s">
        <v>636</v>
      </c>
      <c r="B793" t="s">
        <v>892</v>
      </c>
      <c r="C793" t="s">
        <v>145</v>
      </c>
      <c r="D793" t="s">
        <v>213</v>
      </c>
      <c r="E793" t="s">
        <v>162</v>
      </c>
      <c r="F793" t="s">
        <v>1137</v>
      </c>
      <c r="G793" t="s">
        <v>1138</v>
      </c>
    </row>
    <row r="794" spans="1:7" x14ac:dyDescent="0.35">
      <c r="A794" t="s">
        <v>636</v>
      </c>
      <c r="B794" t="s">
        <v>893</v>
      </c>
      <c r="C794" t="s">
        <v>145</v>
      </c>
      <c r="D794" t="s">
        <v>213</v>
      </c>
      <c r="E794" t="s">
        <v>162</v>
      </c>
      <c r="F794" t="s">
        <v>1137</v>
      </c>
      <c r="G794" t="s">
        <v>1138</v>
      </c>
    </row>
    <row r="795" spans="1:7" x14ac:dyDescent="0.35">
      <c r="A795" t="s">
        <v>636</v>
      </c>
      <c r="B795" t="s">
        <v>894</v>
      </c>
      <c r="C795" t="s">
        <v>141</v>
      </c>
      <c r="D795" t="s">
        <v>213</v>
      </c>
      <c r="E795" t="s">
        <v>162</v>
      </c>
      <c r="F795" t="s">
        <v>1494</v>
      </c>
      <c r="G795" t="s">
        <v>1495</v>
      </c>
    </row>
    <row r="796" spans="1:7" x14ac:dyDescent="0.35">
      <c r="A796" t="s">
        <v>636</v>
      </c>
      <c r="B796" t="s">
        <v>895</v>
      </c>
      <c r="C796" t="s">
        <v>145</v>
      </c>
      <c r="D796" t="s">
        <v>213</v>
      </c>
      <c r="E796" t="s">
        <v>165</v>
      </c>
      <c r="F796" t="s">
        <v>1491</v>
      </c>
      <c r="G796" t="s">
        <v>1492</v>
      </c>
    </row>
    <row r="797" spans="1:7" x14ac:dyDescent="0.35">
      <c r="A797" t="s">
        <v>636</v>
      </c>
      <c r="B797" t="s">
        <v>896</v>
      </c>
      <c r="C797" t="s">
        <v>141</v>
      </c>
      <c r="D797" t="s">
        <v>213</v>
      </c>
      <c r="E797" t="s">
        <v>165</v>
      </c>
      <c r="F797" t="s">
        <v>1491</v>
      </c>
      <c r="G797" t="s">
        <v>1492</v>
      </c>
    </row>
    <row r="798" spans="1:7" x14ac:dyDescent="0.35">
      <c r="A798" t="s">
        <v>636</v>
      </c>
      <c r="B798" t="s">
        <v>897</v>
      </c>
      <c r="C798" t="s">
        <v>141</v>
      </c>
      <c r="D798" t="s">
        <v>213</v>
      </c>
      <c r="E798" t="s">
        <v>165</v>
      </c>
      <c r="F798" t="s">
        <v>1491</v>
      </c>
      <c r="G798" t="s">
        <v>1492</v>
      </c>
    </row>
    <row r="799" spans="1:7" x14ac:dyDescent="0.35">
      <c r="A799" t="s">
        <v>636</v>
      </c>
      <c r="B799" t="s">
        <v>898</v>
      </c>
      <c r="C799" t="s">
        <v>145</v>
      </c>
      <c r="D799" t="s">
        <v>213</v>
      </c>
      <c r="E799" t="s">
        <v>356</v>
      </c>
      <c r="F799" t="s">
        <v>1488</v>
      </c>
      <c r="G799" t="s">
        <v>1489</v>
      </c>
    </row>
    <row r="800" spans="1:7" x14ac:dyDescent="0.35">
      <c r="A800" t="s">
        <v>636</v>
      </c>
      <c r="B800" t="s">
        <v>899</v>
      </c>
      <c r="C800" t="s">
        <v>145</v>
      </c>
      <c r="D800" t="s">
        <v>213</v>
      </c>
      <c r="E800" t="s">
        <v>356</v>
      </c>
      <c r="F800" t="s">
        <v>1151</v>
      </c>
      <c r="G800" t="s">
        <v>1152</v>
      </c>
    </row>
    <row r="801" spans="1:7" x14ac:dyDescent="0.35">
      <c r="A801" t="s">
        <v>636</v>
      </c>
      <c r="B801" t="s">
        <v>900</v>
      </c>
      <c r="C801" t="s">
        <v>145</v>
      </c>
      <c r="D801" t="s">
        <v>213</v>
      </c>
      <c r="E801" t="s">
        <v>356</v>
      </c>
      <c r="F801" t="s">
        <v>1151</v>
      </c>
      <c r="G801" t="s">
        <v>1152</v>
      </c>
    </row>
    <row r="802" spans="1:7" x14ac:dyDescent="0.35">
      <c r="A802" t="s">
        <v>636</v>
      </c>
      <c r="B802" t="s">
        <v>901</v>
      </c>
      <c r="C802" t="s">
        <v>145</v>
      </c>
      <c r="D802" t="s">
        <v>213</v>
      </c>
      <c r="E802" t="s">
        <v>167</v>
      </c>
      <c r="F802" t="s">
        <v>1491</v>
      </c>
      <c r="G802" t="s">
        <v>1492</v>
      </c>
    </row>
    <row r="803" spans="1:7" x14ac:dyDescent="0.35">
      <c r="A803" t="s">
        <v>636</v>
      </c>
      <c r="B803" t="s">
        <v>902</v>
      </c>
      <c r="C803" t="s">
        <v>141</v>
      </c>
      <c r="D803" t="s">
        <v>213</v>
      </c>
      <c r="E803" t="s">
        <v>167</v>
      </c>
      <c r="F803" t="s">
        <v>1494</v>
      </c>
      <c r="G803" t="s">
        <v>1495</v>
      </c>
    </row>
    <row r="804" spans="1:7" x14ac:dyDescent="0.35">
      <c r="A804" t="s">
        <v>636</v>
      </c>
      <c r="B804" t="s">
        <v>903</v>
      </c>
      <c r="C804" t="s">
        <v>145</v>
      </c>
      <c r="D804" t="s">
        <v>213</v>
      </c>
      <c r="E804" t="s">
        <v>170</v>
      </c>
      <c r="F804" t="s">
        <v>1128</v>
      </c>
      <c r="G804" t="s">
        <v>1134</v>
      </c>
    </row>
    <row r="805" spans="1:7" x14ac:dyDescent="0.35">
      <c r="A805" t="s">
        <v>636</v>
      </c>
      <c r="B805" t="s">
        <v>904</v>
      </c>
      <c r="C805" t="s">
        <v>145</v>
      </c>
      <c r="D805" t="s">
        <v>213</v>
      </c>
      <c r="E805" t="s">
        <v>173</v>
      </c>
      <c r="F805" t="s">
        <v>1128</v>
      </c>
      <c r="G805" t="s">
        <v>1134</v>
      </c>
    </row>
    <row r="806" spans="1:7" x14ac:dyDescent="0.35">
      <c r="A806" t="s">
        <v>636</v>
      </c>
      <c r="B806" t="s">
        <v>905</v>
      </c>
      <c r="C806" t="s">
        <v>141</v>
      </c>
      <c r="D806" t="s">
        <v>213</v>
      </c>
      <c r="E806" t="s">
        <v>178</v>
      </c>
      <c r="F806" t="s">
        <v>1128</v>
      </c>
      <c r="G806" t="s">
        <v>1496</v>
      </c>
    </row>
    <row r="807" spans="1:7" x14ac:dyDescent="0.35">
      <c r="A807" t="s">
        <v>636</v>
      </c>
      <c r="B807" t="s">
        <v>906</v>
      </c>
      <c r="C807" t="s">
        <v>145</v>
      </c>
      <c r="D807" t="s">
        <v>213</v>
      </c>
      <c r="E807" t="s">
        <v>178</v>
      </c>
      <c r="F807" t="s">
        <v>1490</v>
      </c>
      <c r="G807" t="s">
        <v>1148</v>
      </c>
    </row>
    <row r="808" spans="1:7" x14ac:dyDescent="0.35">
      <c r="A808" t="s">
        <v>636</v>
      </c>
      <c r="B808" t="s">
        <v>907</v>
      </c>
      <c r="C808" t="s">
        <v>145</v>
      </c>
      <c r="D808" t="s">
        <v>213</v>
      </c>
      <c r="E808" t="s">
        <v>178</v>
      </c>
      <c r="F808" t="s">
        <v>1143</v>
      </c>
      <c r="G808" t="s">
        <v>1144</v>
      </c>
    </row>
    <row r="809" spans="1:7" x14ac:dyDescent="0.35">
      <c r="A809" t="s">
        <v>636</v>
      </c>
      <c r="B809" t="s">
        <v>908</v>
      </c>
      <c r="C809" t="s">
        <v>141</v>
      </c>
      <c r="D809" t="s">
        <v>213</v>
      </c>
      <c r="E809" t="s">
        <v>178</v>
      </c>
      <c r="F809" t="s">
        <v>1166</v>
      </c>
      <c r="G809" t="s">
        <v>1497</v>
      </c>
    </row>
    <row r="810" spans="1:7" x14ac:dyDescent="0.35">
      <c r="A810" t="s">
        <v>636</v>
      </c>
      <c r="B810" t="s">
        <v>909</v>
      </c>
      <c r="C810" t="s">
        <v>145</v>
      </c>
      <c r="D810" t="s">
        <v>213</v>
      </c>
      <c r="E810" t="s">
        <v>183</v>
      </c>
      <c r="F810" t="s">
        <v>1498</v>
      </c>
      <c r="G810" t="s">
        <v>1138</v>
      </c>
    </row>
    <row r="811" spans="1:7" x14ac:dyDescent="0.35">
      <c r="A811" t="s">
        <v>636</v>
      </c>
      <c r="B811" t="s">
        <v>910</v>
      </c>
      <c r="C811" t="s">
        <v>145</v>
      </c>
      <c r="D811" t="s">
        <v>213</v>
      </c>
      <c r="E811" t="s">
        <v>189</v>
      </c>
      <c r="F811" t="s">
        <v>1143</v>
      </c>
      <c r="G811" t="s">
        <v>1144</v>
      </c>
    </row>
    <row r="812" spans="1:7" x14ac:dyDescent="0.35">
      <c r="A812" t="s">
        <v>636</v>
      </c>
      <c r="B812" t="s">
        <v>911</v>
      </c>
      <c r="C812" t="s">
        <v>145</v>
      </c>
      <c r="D812" t="s">
        <v>213</v>
      </c>
      <c r="E812" t="s">
        <v>301</v>
      </c>
      <c r="F812" t="s">
        <v>1491</v>
      </c>
      <c r="G812" t="s">
        <v>1492</v>
      </c>
    </row>
    <row r="813" spans="1:7" x14ac:dyDescent="0.35">
      <c r="A813" t="s">
        <v>636</v>
      </c>
      <c r="B813" t="s">
        <v>912</v>
      </c>
      <c r="C813" t="s">
        <v>141</v>
      </c>
      <c r="D813" t="s">
        <v>213</v>
      </c>
      <c r="E813" t="s">
        <v>191</v>
      </c>
      <c r="F813" t="s">
        <v>1128</v>
      </c>
      <c r="G813" t="s">
        <v>1134</v>
      </c>
    </row>
    <row r="814" spans="1:7" x14ac:dyDescent="0.35">
      <c r="A814" t="s">
        <v>636</v>
      </c>
      <c r="B814" t="s">
        <v>1499</v>
      </c>
      <c r="C814" t="s">
        <v>145</v>
      </c>
      <c r="D814" t="s">
        <v>213</v>
      </c>
      <c r="E814" t="s">
        <v>1117</v>
      </c>
      <c r="F814" t="s">
        <v>1151</v>
      </c>
      <c r="G814" t="s">
        <v>1152</v>
      </c>
    </row>
    <row r="815" spans="1:7" x14ac:dyDescent="0.35">
      <c r="A815" t="s">
        <v>636</v>
      </c>
      <c r="B815" t="s">
        <v>1500</v>
      </c>
      <c r="C815" t="s">
        <v>141</v>
      </c>
      <c r="D815" t="s">
        <v>213</v>
      </c>
      <c r="E815" t="s">
        <v>1117</v>
      </c>
      <c r="F815" t="s">
        <v>1494</v>
      </c>
      <c r="G815" t="s">
        <v>1495</v>
      </c>
    </row>
    <row r="816" spans="1:7" x14ac:dyDescent="0.35">
      <c r="A816" t="s">
        <v>636</v>
      </c>
      <c r="B816" t="s">
        <v>1501</v>
      </c>
      <c r="C816" t="s">
        <v>145</v>
      </c>
      <c r="D816" t="s">
        <v>213</v>
      </c>
      <c r="E816" t="s">
        <v>1117</v>
      </c>
      <c r="F816" t="s">
        <v>1143</v>
      </c>
      <c r="G816" t="s">
        <v>1144</v>
      </c>
    </row>
    <row r="817" spans="1:7" x14ac:dyDescent="0.35">
      <c r="A817" t="s">
        <v>636</v>
      </c>
      <c r="B817" t="s">
        <v>913</v>
      </c>
      <c r="C817" t="s">
        <v>312</v>
      </c>
      <c r="D817" t="s">
        <v>213</v>
      </c>
      <c r="E817" t="s">
        <v>167</v>
      </c>
      <c r="F817" t="s">
        <v>1490</v>
      </c>
      <c r="G817" t="s">
        <v>1148</v>
      </c>
    </row>
    <row r="818" spans="1:7" x14ac:dyDescent="0.35">
      <c r="A818" t="s">
        <v>636</v>
      </c>
      <c r="B818" t="s">
        <v>914</v>
      </c>
      <c r="C818" t="s">
        <v>915</v>
      </c>
      <c r="D818" t="s">
        <v>213</v>
      </c>
      <c r="E818" t="s">
        <v>183</v>
      </c>
    </row>
    <row r="819" spans="1:7" x14ac:dyDescent="0.35">
      <c r="A819" t="s">
        <v>636</v>
      </c>
      <c r="B819" t="s">
        <v>916</v>
      </c>
      <c r="C819" t="s">
        <v>207</v>
      </c>
      <c r="D819" t="s">
        <v>498</v>
      </c>
      <c r="E819" t="s">
        <v>162</v>
      </c>
      <c r="F819" t="s">
        <v>1272</v>
      </c>
      <c r="G819" t="s">
        <v>1273</v>
      </c>
    </row>
    <row r="820" spans="1:7" x14ac:dyDescent="0.35">
      <c r="A820" t="s">
        <v>636</v>
      </c>
      <c r="B820" t="s">
        <v>917</v>
      </c>
      <c r="C820" t="s">
        <v>145</v>
      </c>
      <c r="D820" t="s">
        <v>498</v>
      </c>
      <c r="E820" t="s">
        <v>301</v>
      </c>
      <c r="F820" t="s">
        <v>1502</v>
      </c>
      <c r="G820" t="s">
        <v>1503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B9FB-70E2-4B0C-A4B3-9597D8592D03}">
  <dimension ref="A1:U725"/>
  <sheetViews>
    <sheetView workbookViewId="0">
      <selection activeCell="L3" sqref="L3"/>
    </sheetView>
  </sheetViews>
  <sheetFormatPr defaultRowHeight="14.5" x14ac:dyDescent="0.35"/>
  <cols>
    <col min="1" max="1" width="32.81640625" bestFit="1" customWidth="1"/>
    <col min="2" max="2" width="13.7265625" bestFit="1" customWidth="1"/>
    <col min="3" max="3" width="16.54296875" customWidth="1"/>
    <col min="5" max="5" width="19.26953125" customWidth="1"/>
    <col min="8" max="8" width="18.453125" customWidth="1"/>
    <col min="9" max="15" width="10.54296875" customWidth="1"/>
    <col min="16" max="16" width="12.90625" customWidth="1"/>
    <col min="17" max="17" width="10.54296875" customWidth="1"/>
    <col min="18" max="18" width="18.08984375" bestFit="1" customWidth="1"/>
    <col min="19" max="21" width="12.26953125" customWidth="1"/>
  </cols>
  <sheetData>
    <row r="1" spans="1:21" x14ac:dyDescent="0.3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H1" t="s">
        <v>918</v>
      </c>
      <c r="I1" t="s">
        <v>997</v>
      </c>
      <c r="J1" t="s">
        <v>998</v>
      </c>
    </row>
    <row r="2" spans="1:21" x14ac:dyDescent="0.35">
      <c r="A2" t="s">
        <v>139</v>
      </c>
      <c r="B2" t="s">
        <v>140</v>
      </c>
      <c r="C2" t="s">
        <v>141</v>
      </c>
      <c r="D2" t="s">
        <v>142</v>
      </c>
      <c r="E2" t="s">
        <v>143</v>
      </c>
    </row>
    <row r="3" spans="1:21" x14ac:dyDescent="0.35">
      <c r="A3" t="s">
        <v>139</v>
      </c>
      <c r="B3" t="s">
        <v>144</v>
      </c>
      <c r="C3" t="s">
        <v>145</v>
      </c>
      <c r="D3" t="s">
        <v>142</v>
      </c>
      <c r="E3" t="s">
        <v>143</v>
      </c>
    </row>
    <row r="4" spans="1:21" x14ac:dyDescent="0.35">
      <c r="A4" t="s">
        <v>139</v>
      </c>
      <c r="B4" t="s">
        <v>146</v>
      </c>
      <c r="C4" t="s">
        <v>145</v>
      </c>
      <c r="D4" t="s">
        <v>142</v>
      </c>
      <c r="E4" t="s">
        <v>143</v>
      </c>
      <c r="H4" s="97" t="s">
        <v>933</v>
      </c>
      <c r="I4" t="s">
        <v>935</v>
      </c>
    </row>
    <row r="5" spans="1:21" x14ac:dyDescent="0.35">
      <c r="A5" t="s">
        <v>139</v>
      </c>
      <c r="B5" t="s">
        <v>147</v>
      </c>
      <c r="C5" t="s">
        <v>145</v>
      </c>
      <c r="D5" t="s">
        <v>142</v>
      </c>
      <c r="E5" t="s">
        <v>143</v>
      </c>
      <c r="H5" s="6" t="s">
        <v>139</v>
      </c>
      <c r="I5">
        <v>181</v>
      </c>
    </row>
    <row r="6" spans="1:21" x14ac:dyDescent="0.35">
      <c r="A6" t="s">
        <v>139</v>
      </c>
      <c r="B6" t="s">
        <v>148</v>
      </c>
      <c r="C6" t="s">
        <v>145</v>
      </c>
      <c r="D6" t="s">
        <v>142</v>
      </c>
      <c r="E6" t="s">
        <v>149</v>
      </c>
      <c r="H6" s="6" t="s">
        <v>352</v>
      </c>
      <c r="I6">
        <v>140</v>
      </c>
    </row>
    <row r="7" spans="1:21" x14ac:dyDescent="0.35">
      <c r="A7" t="s">
        <v>139</v>
      </c>
      <c r="B7" t="s">
        <v>150</v>
      </c>
      <c r="C7" t="s">
        <v>145</v>
      </c>
      <c r="D7" t="s">
        <v>142</v>
      </c>
      <c r="E7" t="s">
        <v>149</v>
      </c>
      <c r="H7" s="6" t="s">
        <v>503</v>
      </c>
      <c r="I7">
        <v>129</v>
      </c>
    </row>
    <row r="8" spans="1:21" x14ac:dyDescent="0.35">
      <c r="A8" t="s">
        <v>139</v>
      </c>
      <c r="B8" t="s">
        <v>151</v>
      </c>
      <c r="C8" t="s">
        <v>145</v>
      </c>
      <c r="D8" t="s">
        <v>142</v>
      </c>
      <c r="E8" t="s">
        <v>149</v>
      </c>
      <c r="H8" s="6" t="s">
        <v>636</v>
      </c>
      <c r="I8">
        <v>274</v>
      </c>
    </row>
    <row r="9" spans="1:21" x14ac:dyDescent="0.35">
      <c r="A9" t="s">
        <v>139</v>
      </c>
      <c r="B9" t="s">
        <v>152</v>
      </c>
      <c r="C9" t="s">
        <v>145</v>
      </c>
      <c r="D9" t="s">
        <v>142</v>
      </c>
      <c r="E9" t="s">
        <v>153</v>
      </c>
      <c r="H9" s="6" t="s">
        <v>934</v>
      </c>
      <c r="I9">
        <v>724</v>
      </c>
    </row>
    <row r="10" spans="1:21" x14ac:dyDescent="0.35">
      <c r="A10" t="s">
        <v>139</v>
      </c>
      <c r="B10" t="s">
        <v>154</v>
      </c>
      <c r="C10" t="s">
        <v>145</v>
      </c>
      <c r="D10" t="s">
        <v>142</v>
      </c>
      <c r="E10" t="s">
        <v>153</v>
      </c>
    </row>
    <row r="11" spans="1:21" x14ac:dyDescent="0.35">
      <c r="A11" t="s">
        <v>139</v>
      </c>
      <c r="B11" t="s">
        <v>155</v>
      </c>
      <c r="C11" t="s">
        <v>145</v>
      </c>
      <c r="D11" t="s">
        <v>142</v>
      </c>
      <c r="E11" t="s">
        <v>156</v>
      </c>
    </row>
    <row r="12" spans="1:21" x14ac:dyDescent="0.35">
      <c r="A12" t="s">
        <v>139</v>
      </c>
      <c r="B12" t="s">
        <v>157</v>
      </c>
      <c r="C12" t="s">
        <v>145</v>
      </c>
      <c r="D12" t="s">
        <v>142</v>
      </c>
      <c r="E12" t="s">
        <v>156</v>
      </c>
    </row>
    <row r="13" spans="1:21" x14ac:dyDescent="0.35">
      <c r="A13" t="s">
        <v>139</v>
      </c>
      <c r="B13" t="s">
        <v>158</v>
      </c>
      <c r="C13" t="s">
        <v>145</v>
      </c>
      <c r="D13" t="s">
        <v>142</v>
      </c>
      <c r="E13" t="s">
        <v>156</v>
      </c>
    </row>
    <row r="14" spans="1:21" x14ac:dyDescent="0.35">
      <c r="A14" t="s">
        <v>139</v>
      </c>
      <c r="B14" t="s">
        <v>159</v>
      </c>
      <c r="C14" t="s">
        <v>145</v>
      </c>
      <c r="D14" t="s">
        <v>142</v>
      </c>
      <c r="E14" t="s">
        <v>156</v>
      </c>
    </row>
    <row r="15" spans="1:21" x14ac:dyDescent="0.35">
      <c r="A15" t="s">
        <v>139</v>
      </c>
      <c r="B15" t="s">
        <v>160</v>
      </c>
      <c r="C15" t="s">
        <v>145</v>
      </c>
      <c r="D15" t="s">
        <v>142</v>
      </c>
      <c r="E15" t="s">
        <v>156</v>
      </c>
    </row>
    <row r="16" spans="1:21" x14ac:dyDescent="0.35">
      <c r="A16" t="s">
        <v>139</v>
      </c>
      <c r="B16" t="s">
        <v>161</v>
      </c>
      <c r="C16" t="s">
        <v>145</v>
      </c>
      <c r="D16" t="s">
        <v>142</v>
      </c>
      <c r="E16" t="s">
        <v>162</v>
      </c>
      <c r="I16" s="109" t="s">
        <v>999</v>
      </c>
      <c r="J16" s="109" t="s">
        <v>1000</v>
      </c>
      <c r="K16" s="109" t="s">
        <v>1001</v>
      </c>
      <c r="M16" s="109" t="s">
        <v>1024</v>
      </c>
      <c r="N16" s="109" t="s">
        <v>1025</v>
      </c>
      <c r="O16" s="109" t="s">
        <v>1026</v>
      </c>
      <c r="S16" s="109" t="s">
        <v>1034</v>
      </c>
      <c r="T16" s="109" t="s">
        <v>1000</v>
      </c>
      <c r="U16" s="109" t="s">
        <v>1001</v>
      </c>
    </row>
    <row r="17" spans="1:21" x14ac:dyDescent="0.35">
      <c r="A17" t="s">
        <v>139</v>
      </c>
      <c r="B17" t="s">
        <v>163</v>
      </c>
      <c r="C17" t="s">
        <v>145</v>
      </c>
      <c r="D17" t="s">
        <v>142</v>
      </c>
      <c r="E17" t="s">
        <v>162</v>
      </c>
      <c r="G17" t="s">
        <v>1022</v>
      </c>
      <c r="H17" s="79" t="s">
        <v>920</v>
      </c>
      <c r="I17" s="61">
        <v>181</v>
      </c>
      <c r="J17" s="61">
        <v>300</v>
      </c>
      <c r="K17" s="89">
        <f>I17/J17</f>
        <v>0.60333333333333339</v>
      </c>
      <c r="M17" s="125">
        <f>'TSR Pen sample'!X3</f>
        <v>0.36779789357747644</v>
      </c>
      <c r="N17" s="125">
        <f>'TSR Pen sample'!Y3</f>
        <v>0.37056116491517277</v>
      </c>
      <c r="O17" s="125">
        <f>N17/M17</f>
        <v>1.0075130156696077</v>
      </c>
      <c r="S17" s="61">
        <v>289</v>
      </c>
      <c r="T17" s="61">
        <v>300</v>
      </c>
      <c r="U17" s="89">
        <f>S17/T17</f>
        <v>0.96333333333333337</v>
      </c>
    </row>
    <row r="18" spans="1:21" x14ac:dyDescent="0.35">
      <c r="A18" t="s">
        <v>139</v>
      </c>
      <c r="B18" t="s">
        <v>164</v>
      </c>
      <c r="C18" t="s">
        <v>145</v>
      </c>
      <c r="D18" t="s">
        <v>142</v>
      </c>
      <c r="E18" t="s">
        <v>165</v>
      </c>
      <c r="G18" t="s">
        <v>1022</v>
      </c>
      <c r="H18" s="6" t="s">
        <v>352</v>
      </c>
      <c r="I18" s="61">
        <v>140</v>
      </c>
      <c r="J18" s="61">
        <v>300</v>
      </c>
      <c r="K18" s="89">
        <f>I18/J18</f>
        <v>0.46666666666666667</v>
      </c>
      <c r="M18" s="125">
        <f>'TSR Pen sample'!X4</f>
        <v>0.29690976514215078</v>
      </c>
      <c r="N18" s="125">
        <f>'TSR Pen sample'!Y4</f>
        <v>0.2970401038126429</v>
      </c>
      <c r="O18" s="125">
        <f t="shared" ref="O18:O20" si="0">N18/M18</f>
        <v>1.0004389841150214</v>
      </c>
      <c r="S18" s="61">
        <v>209</v>
      </c>
      <c r="T18" s="61">
        <v>300</v>
      </c>
      <c r="U18" s="89">
        <f>S18/T18</f>
        <v>0.69666666666666666</v>
      </c>
    </row>
    <row r="19" spans="1:21" x14ac:dyDescent="0.35">
      <c r="A19" t="s">
        <v>139</v>
      </c>
      <c r="B19" t="s">
        <v>166</v>
      </c>
      <c r="C19" t="s">
        <v>145</v>
      </c>
      <c r="D19" t="s">
        <v>142</v>
      </c>
      <c r="E19" t="s">
        <v>167</v>
      </c>
      <c r="G19" t="s">
        <v>1022</v>
      </c>
      <c r="H19" s="6" t="s">
        <v>503</v>
      </c>
      <c r="I19" s="61">
        <v>129</v>
      </c>
      <c r="J19" s="61">
        <v>300</v>
      </c>
      <c r="K19" s="89">
        <f>I19/J19</f>
        <v>0.43</v>
      </c>
      <c r="M19" s="125">
        <f>'TSR Pen sample'!X5</f>
        <v>0.41986121404028837</v>
      </c>
      <c r="N19" s="125">
        <f>'TSR Pen sample'!Y5</f>
        <v>0.41663895723881095</v>
      </c>
      <c r="O19" s="125">
        <f t="shared" si="0"/>
        <v>0.99232542398839385</v>
      </c>
      <c r="S19" s="61">
        <v>267</v>
      </c>
      <c r="T19" s="61">
        <v>300</v>
      </c>
      <c r="U19" s="89">
        <f>S19/T19</f>
        <v>0.89</v>
      </c>
    </row>
    <row r="20" spans="1:21" x14ac:dyDescent="0.35">
      <c r="A20" t="s">
        <v>139</v>
      </c>
      <c r="B20" t="s">
        <v>168</v>
      </c>
      <c r="C20" t="s">
        <v>145</v>
      </c>
      <c r="D20" t="s">
        <v>142</v>
      </c>
      <c r="E20" t="s">
        <v>167</v>
      </c>
      <c r="G20" t="s">
        <v>1023</v>
      </c>
      <c r="H20" t="s">
        <v>996</v>
      </c>
      <c r="I20" s="61">
        <v>274</v>
      </c>
      <c r="J20" s="61">
        <v>300</v>
      </c>
      <c r="K20" s="89">
        <f>I20/J20</f>
        <v>0.91333333333333333</v>
      </c>
      <c r="M20" s="125">
        <f>'TSR Pen sample'!X6</f>
        <v>0.30871639706738041</v>
      </c>
      <c r="N20" s="125">
        <f>'TSR Pen sample'!Y6</f>
        <v>0.30485467901628871</v>
      </c>
      <c r="O20" s="125">
        <f t="shared" si="0"/>
        <v>0.98749104975383328</v>
      </c>
      <c r="S20" s="61">
        <v>450</v>
      </c>
      <c r="T20" s="61">
        <v>300</v>
      </c>
      <c r="U20" s="89">
        <f>S20/T20</f>
        <v>1.5</v>
      </c>
    </row>
    <row r="21" spans="1:21" x14ac:dyDescent="0.35">
      <c r="A21" t="s">
        <v>139</v>
      </c>
      <c r="B21" t="s">
        <v>169</v>
      </c>
      <c r="C21" t="s">
        <v>145</v>
      </c>
      <c r="D21" t="s">
        <v>142</v>
      </c>
      <c r="E21" t="s">
        <v>170</v>
      </c>
      <c r="G21" s="52"/>
      <c r="H21" s="52"/>
      <c r="I21" s="92">
        <f>SUM(I17:I20)</f>
        <v>724</v>
      </c>
      <c r="J21" s="92">
        <f>SUM(J17:J20)</f>
        <v>1200</v>
      </c>
      <c r="K21" s="94">
        <f>I21/J21</f>
        <v>0.60333333333333339</v>
      </c>
      <c r="S21" s="92">
        <f>SUM(S17:S20)</f>
        <v>1215</v>
      </c>
      <c r="T21" s="92">
        <f>SUM(T17:T20)</f>
        <v>1200</v>
      </c>
      <c r="U21" s="94">
        <f>S21/T21</f>
        <v>1.0125</v>
      </c>
    </row>
    <row r="22" spans="1:21" x14ac:dyDescent="0.35">
      <c r="A22" t="s">
        <v>139</v>
      </c>
      <c r="B22" t="s">
        <v>171</v>
      </c>
      <c r="C22" t="s">
        <v>145</v>
      </c>
      <c r="D22" t="s">
        <v>142</v>
      </c>
      <c r="E22" t="s">
        <v>170</v>
      </c>
      <c r="I22" s="61"/>
      <c r="J22" s="61"/>
    </row>
    <row r="23" spans="1:21" x14ac:dyDescent="0.35">
      <c r="A23" t="s">
        <v>139</v>
      </c>
      <c r="B23" t="s">
        <v>172</v>
      </c>
      <c r="C23" t="s">
        <v>145</v>
      </c>
      <c r="D23" t="s">
        <v>142</v>
      </c>
      <c r="E23" t="s">
        <v>173</v>
      </c>
      <c r="G23" s="52" t="s">
        <v>99</v>
      </c>
      <c r="H23" s="124" t="s">
        <v>636</v>
      </c>
      <c r="I23" s="92">
        <f>I21</f>
        <v>724</v>
      </c>
      <c r="J23" s="92">
        <f t="shared" ref="J23:K23" si="1">J21</f>
        <v>1200</v>
      </c>
      <c r="K23" s="94">
        <f t="shared" si="1"/>
        <v>0.60333333333333339</v>
      </c>
      <c r="M23" s="127">
        <f>'TSR Pen sample'!X7</f>
        <v>0.33489239112014912</v>
      </c>
      <c r="N23" s="127">
        <f>'TSR Pen sample'!Y7</f>
        <v>0.33287581042929038</v>
      </c>
      <c r="O23" s="127">
        <f t="shared" ref="O23" si="2">N23/M23</f>
        <v>0.9939784218921377</v>
      </c>
      <c r="S23" s="92">
        <f>S21</f>
        <v>1215</v>
      </c>
      <c r="T23" s="92">
        <f t="shared" ref="T23:U23" si="3">T21</f>
        <v>1200</v>
      </c>
      <c r="U23" s="94">
        <f t="shared" si="3"/>
        <v>1.0125</v>
      </c>
    </row>
    <row r="24" spans="1:21" x14ac:dyDescent="0.35">
      <c r="A24" t="s">
        <v>139</v>
      </c>
      <c r="B24" t="s">
        <v>174</v>
      </c>
      <c r="C24" t="s">
        <v>145</v>
      </c>
      <c r="D24" t="s">
        <v>142</v>
      </c>
      <c r="E24" t="s">
        <v>173</v>
      </c>
    </row>
    <row r="25" spans="1:21" x14ac:dyDescent="0.35">
      <c r="A25" t="s">
        <v>139</v>
      </c>
      <c r="B25" t="s">
        <v>175</v>
      </c>
      <c r="C25" t="s">
        <v>145</v>
      </c>
      <c r="D25" t="s">
        <v>142</v>
      </c>
      <c r="E25" t="s">
        <v>173</v>
      </c>
    </row>
    <row r="26" spans="1:21" x14ac:dyDescent="0.35">
      <c r="A26" t="s">
        <v>139</v>
      </c>
      <c r="B26" t="s">
        <v>176</v>
      </c>
      <c r="C26" t="s">
        <v>145</v>
      </c>
      <c r="D26" t="s">
        <v>142</v>
      </c>
      <c r="E26" t="s">
        <v>173</v>
      </c>
      <c r="J26" s="112">
        <v>0.5</v>
      </c>
      <c r="L26" s="123"/>
      <c r="M26" s="89">
        <v>0.5</v>
      </c>
      <c r="P26" s="68"/>
    </row>
    <row r="27" spans="1:21" x14ac:dyDescent="0.35">
      <c r="A27" t="s">
        <v>139</v>
      </c>
      <c r="B27" t="s">
        <v>177</v>
      </c>
      <c r="C27" t="s">
        <v>145</v>
      </c>
      <c r="D27" t="s">
        <v>142</v>
      </c>
      <c r="E27" t="s">
        <v>178</v>
      </c>
      <c r="G27" s="14" t="s">
        <v>1033</v>
      </c>
      <c r="H27" s="14"/>
      <c r="I27" s="12" t="s">
        <v>23</v>
      </c>
      <c r="J27" s="69" t="s">
        <v>1027</v>
      </c>
      <c r="K27" s="12" t="s">
        <v>1001</v>
      </c>
      <c r="L27" s="48" t="s">
        <v>1028</v>
      </c>
      <c r="M27" s="12" t="s">
        <v>1029</v>
      </c>
      <c r="N27" s="12" t="s">
        <v>1030</v>
      </c>
      <c r="O27" s="12" t="s">
        <v>1031</v>
      </c>
      <c r="P27" s="69" t="s">
        <v>1032</v>
      </c>
      <c r="Q27" s="68" t="s">
        <v>928</v>
      </c>
      <c r="S27" s="69" t="s">
        <v>992</v>
      </c>
      <c r="T27" s="12" t="s">
        <v>994</v>
      </c>
      <c r="U27" s="12" t="s">
        <v>995</v>
      </c>
    </row>
    <row r="28" spans="1:21" x14ac:dyDescent="0.35">
      <c r="A28" t="s">
        <v>139</v>
      </c>
      <c r="B28" t="s">
        <v>179</v>
      </c>
      <c r="C28" t="s">
        <v>145</v>
      </c>
      <c r="D28" t="s">
        <v>142</v>
      </c>
      <c r="E28" t="s">
        <v>178</v>
      </c>
      <c r="G28" t="s">
        <v>1022</v>
      </c>
      <c r="H28" s="77" t="s">
        <v>920</v>
      </c>
      <c r="I28" s="128">
        <f>30000/12</f>
        <v>2500</v>
      </c>
      <c r="J28" s="43">
        <f>I28*J$26</f>
        <v>1250</v>
      </c>
      <c r="K28" s="126">
        <f>K17</f>
        <v>0.60333333333333339</v>
      </c>
      <c r="L28" s="44">
        <f>J28*K28</f>
        <v>754.16666666666674</v>
      </c>
      <c r="M28" s="15">
        <f>I28*M$26</f>
        <v>1250</v>
      </c>
      <c r="N28" s="126">
        <f>O17</f>
        <v>1.0075130156696077</v>
      </c>
      <c r="O28" s="15">
        <f>M28*N28</f>
        <v>1259.3912695870097</v>
      </c>
      <c r="P28" s="43">
        <f>L28+O28</f>
        <v>2013.5579362536764</v>
      </c>
      <c r="Q28" s="112">
        <f>P28/I28</f>
        <v>0.80542317450147061</v>
      </c>
      <c r="S28" s="43">
        <v>2435.8333333333335</v>
      </c>
      <c r="T28" s="15">
        <f>P40</f>
        <v>2574.7754596180189</v>
      </c>
      <c r="U28" s="15">
        <f>T28-S28</f>
        <v>138.9421262846854</v>
      </c>
    </row>
    <row r="29" spans="1:21" x14ac:dyDescent="0.35">
      <c r="A29" t="s">
        <v>139</v>
      </c>
      <c r="B29" t="s">
        <v>180</v>
      </c>
      <c r="C29" t="s">
        <v>145</v>
      </c>
      <c r="D29" t="s">
        <v>142</v>
      </c>
      <c r="E29" t="s">
        <v>178</v>
      </c>
      <c r="G29" t="s">
        <v>1022</v>
      </c>
      <c r="H29" s="6" t="s">
        <v>352</v>
      </c>
      <c r="I29" s="129">
        <f t="shared" ref="I29:I31" si="4">30000/12</f>
        <v>2500</v>
      </c>
      <c r="J29" s="43">
        <f t="shared" ref="J29:J31" si="5">I29*J$26</f>
        <v>1250</v>
      </c>
      <c r="K29" s="126">
        <f t="shared" ref="K29:K31" si="6">K18</f>
        <v>0.46666666666666667</v>
      </c>
      <c r="L29" s="44">
        <f t="shared" ref="L29:L31" si="7">J29*K29</f>
        <v>583.33333333333337</v>
      </c>
      <c r="M29" s="15">
        <f t="shared" ref="M29:M31" si="8">I29*M$26</f>
        <v>1250</v>
      </c>
      <c r="N29" s="126">
        <f t="shared" ref="N29:N31" si="9">O18</f>
        <v>1.0004389841150214</v>
      </c>
      <c r="O29" s="15">
        <f t="shared" ref="O29:O31" si="10">M29*N29</f>
        <v>1250.5487301437768</v>
      </c>
      <c r="P29" s="43">
        <f t="shared" ref="P29:P31" si="11">L29+O29</f>
        <v>1833.88206347711</v>
      </c>
      <c r="Q29" s="112">
        <f t="shared" ref="Q29:Q31" si="12">P29/I29</f>
        <v>0.73355282539084399</v>
      </c>
      <c r="S29" s="43">
        <v>1969.1666666666667</v>
      </c>
      <c r="T29" s="15">
        <f t="shared" ref="T29:T31" si="13">P41</f>
        <v>2151.7366143102736</v>
      </c>
      <c r="U29" s="15">
        <f t="shared" ref="U29:U31" si="14">T29-S29</f>
        <v>182.56994764360684</v>
      </c>
    </row>
    <row r="30" spans="1:21" x14ac:dyDescent="0.35">
      <c r="A30" t="s">
        <v>139</v>
      </c>
      <c r="B30" t="s">
        <v>181</v>
      </c>
      <c r="C30" t="s">
        <v>145</v>
      </c>
      <c r="D30" t="s">
        <v>142</v>
      </c>
      <c r="E30" t="s">
        <v>178</v>
      </c>
      <c r="G30" t="s">
        <v>1022</v>
      </c>
      <c r="H30" s="6" t="s">
        <v>503</v>
      </c>
      <c r="I30" s="129">
        <f t="shared" si="4"/>
        <v>2500</v>
      </c>
      <c r="J30" s="43">
        <f t="shared" si="5"/>
        <v>1250</v>
      </c>
      <c r="K30" s="126">
        <f t="shared" si="6"/>
        <v>0.43</v>
      </c>
      <c r="L30" s="44">
        <f t="shared" si="7"/>
        <v>537.5</v>
      </c>
      <c r="M30" s="15">
        <f t="shared" si="8"/>
        <v>1250</v>
      </c>
      <c r="N30" s="126">
        <f t="shared" si="9"/>
        <v>0.99232542398839385</v>
      </c>
      <c r="O30" s="15">
        <f t="shared" si="10"/>
        <v>1240.4067799854922</v>
      </c>
      <c r="P30" s="43">
        <f t="shared" si="11"/>
        <v>1777.9067799854922</v>
      </c>
      <c r="Q30" s="112">
        <f t="shared" si="12"/>
        <v>0.71116271199419689</v>
      </c>
      <c r="S30" s="43">
        <v>2307.5</v>
      </c>
      <c r="T30" s="15">
        <f t="shared" si="13"/>
        <v>2370.6720217349584</v>
      </c>
      <c r="U30" s="15">
        <f t="shared" si="14"/>
        <v>63.172021734958435</v>
      </c>
    </row>
    <row r="31" spans="1:21" x14ac:dyDescent="0.35">
      <c r="A31" t="s">
        <v>139</v>
      </c>
      <c r="B31" t="s">
        <v>182</v>
      </c>
      <c r="C31" t="s">
        <v>145</v>
      </c>
      <c r="D31" t="s">
        <v>142</v>
      </c>
      <c r="E31" t="s">
        <v>183</v>
      </c>
      <c r="G31" t="s">
        <v>1023</v>
      </c>
      <c r="H31" t="s">
        <v>996</v>
      </c>
      <c r="I31" s="129">
        <f t="shared" si="4"/>
        <v>2500</v>
      </c>
      <c r="J31" s="43">
        <f t="shared" si="5"/>
        <v>1250</v>
      </c>
      <c r="K31" s="126">
        <f t="shared" si="6"/>
        <v>0.91333333333333333</v>
      </c>
      <c r="L31" s="44">
        <f t="shared" si="7"/>
        <v>1141.6666666666667</v>
      </c>
      <c r="M31" s="15">
        <f t="shared" si="8"/>
        <v>1250</v>
      </c>
      <c r="N31" s="126">
        <f t="shared" si="9"/>
        <v>0.98749104975383328</v>
      </c>
      <c r="O31" s="15">
        <f t="shared" si="10"/>
        <v>1234.3638121922916</v>
      </c>
      <c r="P31" s="43">
        <f t="shared" si="11"/>
        <v>2376.0304788589583</v>
      </c>
      <c r="Q31" s="112">
        <f t="shared" si="12"/>
        <v>0.95041219154358336</v>
      </c>
      <c r="S31" s="43"/>
      <c r="T31" s="15">
        <f t="shared" si="13"/>
        <v>3166.1596335184686</v>
      </c>
      <c r="U31" s="15">
        <f t="shared" si="14"/>
        <v>3166.1596335184686</v>
      </c>
    </row>
    <row r="32" spans="1:21" x14ac:dyDescent="0.35">
      <c r="A32" t="s">
        <v>139</v>
      </c>
      <c r="B32" t="s">
        <v>184</v>
      </c>
      <c r="C32" t="s">
        <v>141</v>
      </c>
      <c r="D32" t="s">
        <v>142</v>
      </c>
      <c r="E32" t="s">
        <v>183</v>
      </c>
      <c r="G32" s="52"/>
      <c r="H32" s="52"/>
      <c r="I32" s="130"/>
      <c r="J32" s="131"/>
      <c r="K32" s="133"/>
      <c r="L32" s="132">
        <f>SUM(L28:L31)</f>
        <v>3016.666666666667</v>
      </c>
      <c r="M32" s="52"/>
      <c r="N32" s="52"/>
      <c r="O32" s="132">
        <f>SUM(O28:O31)</f>
        <v>4984.7105919085698</v>
      </c>
      <c r="P32" s="95">
        <f>SUM(P28:P31)</f>
        <v>8001.3772585752367</v>
      </c>
      <c r="Q32" s="112"/>
      <c r="S32" s="95">
        <f t="shared" ref="S32:U32" si="15">SUM(S28:S31)</f>
        <v>6712.5</v>
      </c>
      <c r="T32" s="95">
        <f t="shared" si="15"/>
        <v>10263.343729181719</v>
      </c>
      <c r="U32" s="95">
        <f t="shared" si="15"/>
        <v>3550.843729181719</v>
      </c>
    </row>
    <row r="33" spans="1:21" x14ac:dyDescent="0.35">
      <c r="A33" t="s">
        <v>139</v>
      </c>
      <c r="B33" t="s">
        <v>185</v>
      </c>
      <c r="C33" t="s">
        <v>145</v>
      </c>
      <c r="D33" t="s">
        <v>142</v>
      </c>
      <c r="E33" t="s">
        <v>183</v>
      </c>
      <c r="I33" s="129"/>
      <c r="J33" s="68"/>
      <c r="K33" s="126"/>
      <c r="L33" s="123"/>
      <c r="P33" s="68"/>
      <c r="Q33" s="89"/>
      <c r="S33" s="68"/>
    </row>
    <row r="34" spans="1:21" x14ac:dyDescent="0.35">
      <c r="A34" t="s">
        <v>139</v>
      </c>
      <c r="B34" t="s">
        <v>186</v>
      </c>
      <c r="C34" t="s">
        <v>141</v>
      </c>
      <c r="D34" t="s">
        <v>142</v>
      </c>
      <c r="E34" t="s">
        <v>183</v>
      </c>
      <c r="G34" s="52" t="s">
        <v>99</v>
      </c>
      <c r="H34" s="124" t="s">
        <v>636</v>
      </c>
      <c r="I34" s="130">
        <f>50000/12</f>
        <v>4166.666666666667</v>
      </c>
      <c r="J34" s="119">
        <f t="shared" ref="J34" si="16">I34*J$26</f>
        <v>2083.3333333333335</v>
      </c>
      <c r="K34" s="133">
        <f t="shared" ref="K34" si="17">K23</f>
        <v>0.60333333333333339</v>
      </c>
      <c r="L34" s="132">
        <f t="shared" ref="L34" si="18">J34*K34</f>
        <v>1256.9444444444446</v>
      </c>
      <c r="M34" s="95">
        <f t="shared" ref="M34" si="19">I34*M$26</f>
        <v>2083.3333333333335</v>
      </c>
      <c r="N34" s="133">
        <f>O23</f>
        <v>0.9939784218921377</v>
      </c>
      <c r="O34" s="95">
        <f t="shared" ref="O34" si="20">M34*N34</f>
        <v>2070.7883789419539</v>
      </c>
      <c r="P34" s="119">
        <f>L34+O34</f>
        <v>3327.7328233863982</v>
      </c>
      <c r="Q34" s="94">
        <f>P34/I34</f>
        <v>0.79865587761273549</v>
      </c>
      <c r="S34" s="119">
        <v>4284.833333333333</v>
      </c>
      <c r="T34" s="119">
        <f>P46</f>
        <v>4270.2033174331591</v>
      </c>
      <c r="U34" s="15">
        <f t="shared" ref="U34" si="21">T34-S34</f>
        <v>-14.63001590017393</v>
      </c>
    </row>
    <row r="35" spans="1:21" x14ac:dyDescent="0.35">
      <c r="A35" t="s">
        <v>139</v>
      </c>
      <c r="B35" t="s">
        <v>187</v>
      </c>
      <c r="C35" t="s">
        <v>145</v>
      </c>
      <c r="D35" t="s">
        <v>142</v>
      </c>
      <c r="E35" t="s">
        <v>183</v>
      </c>
      <c r="I35" s="40"/>
    </row>
    <row r="36" spans="1:21" x14ac:dyDescent="0.35">
      <c r="A36" t="s">
        <v>139</v>
      </c>
      <c r="B36" t="s">
        <v>188</v>
      </c>
      <c r="C36" t="s">
        <v>145</v>
      </c>
      <c r="D36" t="s">
        <v>142</v>
      </c>
      <c r="E36" t="s">
        <v>189</v>
      </c>
    </row>
    <row r="37" spans="1:21" x14ac:dyDescent="0.35">
      <c r="A37" t="s">
        <v>139</v>
      </c>
      <c r="B37" t="s">
        <v>190</v>
      </c>
      <c r="C37" t="s">
        <v>145</v>
      </c>
      <c r="D37" t="s">
        <v>142</v>
      </c>
      <c r="E37" t="s">
        <v>191</v>
      </c>
    </row>
    <row r="38" spans="1:21" x14ac:dyDescent="0.35">
      <c r="A38" t="s">
        <v>139</v>
      </c>
      <c r="B38" t="s">
        <v>192</v>
      </c>
      <c r="C38" t="s">
        <v>145</v>
      </c>
      <c r="D38" t="s">
        <v>142</v>
      </c>
      <c r="E38" t="s">
        <v>191</v>
      </c>
      <c r="J38" s="112">
        <v>0.5</v>
      </c>
      <c r="L38" s="123"/>
      <c r="M38" s="89">
        <v>0.5</v>
      </c>
      <c r="P38" s="68"/>
    </row>
    <row r="39" spans="1:21" x14ac:dyDescent="0.35">
      <c r="A39" t="s">
        <v>139</v>
      </c>
      <c r="B39" t="s">
        <v>193</v>
      </c>
      <c r="C39" t="s">
        <v>145</v>
      </c>
      <c r="D39" t="s">
        <v>142</v>
      </c>
      <c r="E39" t="s">
        <v>191</v>
      </c>
      <c r="G39" s="14" t="s">
        <v>1035</v>
      </c>
      <c r="I39" s="12" t="s">
        <v>23</v>
      </c>
      <c r="J39" s="69" t="s">
        <v>1027</v>
      </c>
      <c r="K39" s="12" t="s">
        <v>1001</v>
      </c>
      <c r="L39" s="48" t="s">
        <v>1028</v>
      </c>
      <c r="M39" s="12" t="s">
        <v>1029</v>
      </c>
      <c r="N39" s="12" t="s">
        <v>1030</v>
      </c>
      <c r="O39" s="12" t="s">
        <v>1031</v>
      </c>
      <c r="P39" s="69" t="s">
        <v>1032</v>
      </c>
      <c r="Q39" s="68" t="s">
        <v>928</v>
      </c>
    </row>
    <row r="40" spans="1:21" x14ac:dyDescent="0.35">
      <c r="A40" t="s">
        <v>139</v>
      </c>
      <c r="B40" t="s">
        <v>194</v>
      </c>
      <c r="C40" t="s">
        <v>145</v>
      </c>
      <c r="D40" t="s">
        <v>142</v>
      </c>
      <c r="E40" t="s">
        <v>191</v>
      </c>
      <c r="G40" t="s">
        <v>1022</v>
      </c>
      <c r="H40" s="77" t="s">
        <v>920</v>
      </c>
      <c r="I40" s="128">
        <f>30000/12</f>
        <v>2500</v>
      </c>
      <c r="J40" s="43">
        <f>I40*J$26</f>
        <v>1250</v>
      </c>
      <c r="K40" s="126">
        <f>U17</f>
        <v>0.96333333333333337</v>
      </c>
      <c r="L40" s="44">
        <f>J40*K40</f>
        <v>1204.1666666666667</v>
      </c>
      <c r="M40" s="15">
        <f>I40*M$26</f>
        <v>1250</v>
      </c>
      <c r="N40" s="126">
        <f>'TSR Pen sample'!X3/'TSR Pen sample'!W3</f>
        <v>1.0964870343610817</v>
      </c>
      <c r="O40" s="15">
        <f>M40*N40</f>
        <v>1370.6087929513521</v>
      </c>
      <c r="P40" s="43">
        <f>L40+O40</f>
        <v>2574.7754596180189</v>
      </c>
      <c r="Q40" s="112">
        <f>P40/I40</f>
        <v>1.0299101838472076</v>
      </c>
    </row>
    <row r="41" spans="1:21" x14ac:dyDescent="0.35">
      <c r="A41" t="s">
        <v>139</v>
      </c>
      <c r="B41" t="s">
        <v>195</v>
      </c>
      <c r="C41" t="s">
        <v>145</v>
      </c>
      <c r="D41" t="s">
        <v>142</v>
      </c>
      <c r="E41" t="s">
        <v>196</v>
      </c>
      <c r="G41" t="s">
        <v>1022</v>
      </c>
      <c r="H41" s="6" t="s">
        <v>352</v>
      </c>
      <c r="I41" s="129">
        <f t="shared" ref="I41:I43" si="22">30000/12</f>
        <v>2500</v>
      </c>
      <c r="J41" s="43">
        <f t="shared" ref="J41:J43" si="23">I41*J$26</f>
        <v>1250</v>
      </c>
      <c r="K41" s="126">
        <f t="shared" ref="K41:K43" si="24">U18</f>
        <v>0.69666666666666666</v>
      </c>
      <c r="L41" s="44">
        <f t="shared" ref="L41:L43" si="25">J41*K41</f>
        <v>870.83333333333337</v>
      </c>
      <c r="M41" s="15">
        <f t="shared" ref="M41:M43" si="26">I41*M$26</f>
        <v>1250</v>
      </c>
      <c r="N41" s="126">
        <f>'TSR Pen sample'!X4/'TSR Pen sample'!W4</f>
        <v>1.0247226247815522</v>
      </c>
      <c r="O41" s="15">
        <f t="shared" ref="O41:O43" si="27">M41*N41</f>
        <v>1280.9032809769403</v>
      </c>
      <c r="P41" s="43">
        <f t="shared" ref="P41:P43" si="28">L41+O41</f>
        <v>2151.7366143102736</v>
      </c>
      <c r="Q41" s="112">
        <f t="shared" ref="Q41:Q43" si="29">P41/I41</f>
        <v>0.86069464572410948</v>
      </c>
    </row>
    <row r="42" spans="1:21" x14ac:dyDescent="0.35">
      <c r="A42" t="s">
        <v>139</v>
      </c>
      <c r="B42" t="s">
        <v>197</v>
      </c>
      <c r="C42" t="s">
        <v>145</v>
      </c>
      <c r="D42" t="s">
        <v>198</v>
      </c>
      <c r="E42" t="s">
        <v>149</v>
      </c>
      <c r="G42" t="s">
        <v>1022</v>
      </c>
      <c r="H42" s="6" t="s">
        <v>503</v>
      </c>
      <c r="I42" s="129">
        <f t="shared" si="22"/>
        <v>2500</v>
      </c>
      <c r="J42" s="43">
        <f t="shared" si="23"/>
        <v>1250</v>
      </c>
      <c r="K42" s="126">
        <f t="shared" si="24"/>
        <v>0.89</v>
      </c>
      <c r="L42" s="44">
        <f t="shared" si="25"/>
        <v>1112.5</v>
      </c>
      <c r="M42" s="15">
        <f t="shared" si="26"/>
        <v>1250</v>
      </c>
      <c r="N42" s="126">
        <f>'TSR Pen sample'!X5/'TSR Pen sample'!W5</f>
        <v>1.0065376173879668</v>
      </c>
      <c r="O42" s="15">
        <f t="shared" si="27"/>
        <v>1258.1720217349584</v>
      </c>
      <c r="P42" s="43">
        <f t="shared" si="28"/>
        <v>2370.6720217349584</v>
      </c>
      <c r="Q42" s="112">
        <f t="shared" si="29"/>
        <v>0.94826880869398333</v>
      </c>
    </row>
    <row r="43" spans="1:21" x14ac:dyDescent="0.35">
      <c r="A43" t="s">
        <v>139</v>
      </c>
      <c r="B43" t="s">
        <v>199</v>
      </c>
      <c r="C43" t="s">
        <v>145</v>
      </c>
      <c r="D43" t="s">
        <v>198</v>
      </c>
      <c r="E43" t="s">
        <v>153</v>
      </c>
      <c r="G43" t="s">
        <v>1023</v>
      </c>
      <c r="H43" t="s">
        <v>996</v>
      </c>
      <c r="I43" s="129">
        <f t="shared" si="22"/>
        <v>2500</v>
      </c>
      <c r="J43" s="43">
        <f t="shared" si="23"/>
        <v>1250</v>
      </c>
      <c r="K43" s="126">
        <f t="shared" si="24"/>
        <v>1.5</v>
      </c>
      <c r="L43" s="44">
        <f t="shared" si="25"/>
        <v>1875</v>
      </c>
      <c r="M43" s="15">
        <f t="shared" si="26"/>
        <v>1250</v>
      </c>
      <c r="N43" s="126">
        <f>'TSR Pen sample'!X6/'TSR Pen sample'!W6</f>
        <v>1.0329277068147751</v>
      </c>
      <c r="O43" s="15">
        <f t="shared" si="27"/>
        <v>1291.1596335184688</v>
      </c>
      <c r="P43" s="43">
        <f t="shared" si="28"/>
        <v>3166.1596335184686</v>
      </c>
      <c r="Q43" s="112">
        <f t="shared" si="29"/>
        <v>1.2664638534073875</v>
      </c>
    </row>
    <row r="44" spans="1:21" x14ac:dyDescent="0.35">
      <c r="A44" t="s">
        <v>139</v>
      </c>
      <c r="B44" t="s">
        <v>200</v>
      </c>
      <c r="C44" t="s">
        <v>145</v>
      </c>
      <c r="D44" t="s">
        <v>198</v>
      </c>
      <c r="E44" t="s">
        <v>162</v>
      </c>
      <c r="G44" s="52"/>
      <c r="H44" s="52"/>
      <c r="I44" s="130"/>
      <c r="J44" s="131"/>
      <c r="K44" s="133"/>
      <c r="L44" s="132">
        <f>SUM(L40:L43)</f>
        <v>5062.5</v>
      </c>
      <c r="M44" s="52"/>
      <c r="N44" s="52"/>
      <c r="O44" s="132">
        <f>SUM(O40:O43)</f>
        <v>5200.8437291817199</v>
      </c>
      <c r="P44" s="95">
        <f>SUM(P40:P43)</f>
        <v>10263.343729181719</v>
      </c>
      <c r="Q44" s="112"/>
    </row>
    <row r="45" spans="1:21" x14ac:dyDescent="0.35">
      <c r="A45" t="s">
        <v>139</v>
      </c>
      <c r="B45" t="s">
        <v>201</v>
      </c>
      <c r="C45" t="s">
        <v>145</v>
      </c>
      <c r="D45" t="s">
        <v>198</v>
      </c>
      <c r="E45" t="s">
        <v>162</v>
      </c>
      <c r="I45" s="129"/>
      <c r="J45" s="68"/>
      <c r="K45" s="126"/>
      <c r="L45" s="123"/>
      <c r="P45" s="68"/>
      <c r="Q45" s="89"/>
    </row>
    <row r="46" spans="1:21" x14ac:dyDescent="0.35">
      <c r="A46" t="s">
        <v>139</v>
      </c>
      <c r="B46" t="s">
        <v>202</v>
      </c>
      <c r="C46" t="s">
        <v>145</v>
      </c>
      <c r="D46" t="s">
        <v>198</v>
      </c>
      <c r="E46" t="s">
        <v>162</v>
      </c>
      <c r="G46" s="52" t="s">
        <v>99</v>
      </c>
      <c r="H46" s="124" t="s">
        <v>636</v>
      </c>
      <c r="I46" s="130">
        <f>50000/12</f>
        <v>4166.666666666667</v>
      </c>
      <c r="J46" s="119">
        <f t="shared" ref="J46" si="30">I46*J$26</f>
        <v>2083.3333333333335</v>
      </c>
      <c r="K46" s="133">
        <f>U23</f>
        <v>1.0125</v>
      </c>
      <c r="L46" s="132">
        <f t="shared" ref="L46" si="31">J46*K46</f>
        <v>2109.375</v>
      </c>
      <c r="M46" s="95">
        <f t="shared" ref="M46" si="32">I46*M$26</f>
        <v>2083.3333333333335</v>
      </c>
      <c r="N46" s="133">
        <f>'TSR Pen sample'!X7/'TSR Pen sample'!W7</f>
        <v>1.037197592367916</v>
      </c>
      <c r="O46" s="95">
        <f t="shared" ref="O46" si="33">M46*N46</f>
        <v>2160.8283174331586</v>
      </c>
      <c r="P46" s="119">
        <f>L46+O46</f>
        <v>4270.2033174331591</v>
      </c>
      <c r="Q46" s="94">
        <f>P46/I46</f>
        <v>1.0248487961839581</v>
      </c>
    </row>
    <row r="47" spans="1:21" x14ac:dyDescent="0.35">
      <c r="A47" t="s">
        <v>139</v>
      </c>
      <c r="B47" t="s">
        <v>203</v>
      </c>
      <c r="C47" t="s">
        <v>145</v>
      </c>
      <c r="D47" t="s">
        <v>198</v>
      </c>
      <c r="E47" t="s">
        <v>178</v>
      </c>
    </row>
    <row r="48" spans="1:21" x14ac:dyDescent="0.35">
      <c r="A48" t="s">
        <v>139</v>
      </c>
      <c r="B48" t="s">
        <v>204</v>
      </c>
      <c r="C48" t="s">
        <v>145</v>
      </c>
      <c r="D48" t="s">
        <v>198</v>
      </c>
      <c r="E48" t="s">
        <v>178</v>
      </c>
    </row>
    <row r="49" spans="1:5" x14ac:dyDescent="0.35">
      <c r="A49" t="s">
        <v>139</v>
      </c>
      <c r="B49" t="s">
        <v>205</v>
      </c>
      <c r="C49" t="s">
        <v>145</v>
      </c>
      <c r="D49" t="s">
        <v>198</v>
      </c>
      <c r="E49" t="s">
        <v>178</v>
      </c>
    </row>
    <row r="50" spans="1:5" x14ac:dyDescent="0.35">
      <c r="A50" t="s">
        <v>139</v>
      </c>
      <c r="B50" t="s">
        <v>206</v>
      </c>
      <c r="C50" t="s">
        <v>207</v>
      </c>
      <c r="D50" t="s">
        <v>198</v>
      </c>
      <c r="E50" t="s">
        <v>189</v>
      </c>
    </row>
    <row r="51" spans="1:5" x14ac:dyDescent="0.35">
      <c r="A51" t="s">
        <v>139</v>
      </c>
      <c r="B51" t="s">
        <v>208</v>
      </c>
      <c r="C51" t="s">
        <v>145</v>
      </c>
      <c r="D51" t="s">
        <v>209</v>
      </c>
      <c r="E51" t="s">
        <v>170</v>
      </c>
    </row>
    <row r="52" spans="1:5" x14ac:dyDescent="0.35">
      <c r="A52" t="s">
        <v>139</v>
      </c>
      <c r="B52" t="s">
        <v>210</v>
      </c>
      <c r="C52" t="s">
        <v>141</v>
      </c>
      <c r="D52" t="s">
        <v>209</v>
      </c>
      <c r="E52" t="s">
        <v>178</v>
      </c>
    </row>
    <row r="53" spans="1:5" x14ac:dyDescent="0.35">
      <c r="A53" t="s">
        <v>139</v>
      </c>
      <c r="B53" t="s">
        <v>211</v>
      </c>
      <c r="C53" t="s">
        <v>212</v>
      </c>
      <c r="D53" t="s">
        <v>213</v>
      </c>
      <c r="E53" t="s">
        <v>214</v>
      </c>
    </row>
    <row r="54" spans="1:5" x14ac:dyDescent="0.35">
      <c r="A54" t="s">
        <v>139</v>
      </c>
      <c r="B54" t="s">
        <v>215</v>
      </c>
      <c r="C54" t="s">
        <v>145</v>
      </c>
      <c r="D54" t="s">
        <v>213</v>
      </c>
      <c r="E54" t="s">
        <v>214</v>
      </c>
    </row>
    <row r="55" spans="1:5" x14ac:dyDescent="0.35">
      <c r="A55" t="s">
        <v>139</v>
      </c>
      <c r="B55" t="s">
        <v>216</v>
      </c>
      <c r="C55" t="s">
        <v>217</v>
      </c>
      <c r="D55" t="s">
        <v>213</v>
      </c>
      <c r="E55" t="s">
        <v>214</v>
      </c>
    </row>
    <row r="56" spans="1:5" x14ac:dyDescent="0.35">
      <c r="A56" t="s">
        <v>139</v>
      </c>
      <c r="B56" t="s">
        <v>218</v>
      </c>
      <c r="C56" t="s">
        <v>145</v>
      </c>
      <c r="D56" t="s">
        <v>213</v>
      </c>
      <c r="E56" t="s">
        <v>214</v>
      </c>
    </row>
    <row r="57" spans="1:5" x14ac:dyDescent="0.35">
      <c r="A57" t="s">
        <v>139</v>
      </c>
      <c r="B57" t="s">
        <v>219</v>
      </c>
      <c r="C57" t="s">
        <v>145</v>
      </c>
      <c r="D57" t="s">
        <v>213</v>
      </c>
      <c r="E57" t="s">
        <v>214</v>
      </c>
    </row>
    <row r="58" spans="1:5" x14ac:dyDescent="0.35">
      <c r="A58" t="s">
        <v>139</v>
      </c>
      <c r="B58" t="s">
        <v>220</v>
      </c>
      <c r="C58" t="s">
        <v>141</v>
      </c>
      <c r="D58" t="s">
        <v>213</v>
      </c>
      <c r="E58" t="s">
        <v>143</v>
      </c>
    </row>
    <row r="59" spans="1:5" x14ac:dyDescent="0.35">
      <c r="A59" t="s">
        <v>139</v>
      </c>
      <c r="B59" t="s">
        <v>221</v>
      </c>
      <c r="C59" t="s">
        <v>141</v>
      </c>
      <c r="D59" t="s">
        <v>213</v>
      </c>
      <c r="E59" t="s">
        <v>143</v>
      </c>
    </row>
    <row r="60" spans="1:5" x14ac:dyDescent="0.35">
      <c r="A60" t="s">
        <v>139</v>
      </c>
      <c r="B60" t="s">
        <v>222</v>
      </c>
      <c r="C60" t="s">
        <v>145</v>
      </c>
      <c r="D60" t="s">
        <v>213</v>
      </c>
      <c r="E60" t="s">
        <v>143</v>
      </c>
    </row>
    <row r="61" spans="1:5" x14ac:dyDescent="0.35">
      <c r="A61" t="s">
        <v>139</v>
      </c>
      <c r="B61" t="s">
        <v>223</v>
      </c>
      <c r="C61" t="s">
        <v>207</v>
      </c>
      <c r="D61" t="s">
        <v>213</v>
      </c>
      <c r="E61" t="s">
        <v>143</v>
      </c>
    </row>
    <row r="62" spans="1:5" x14ac:dyDescent="0.35">
      <c r="A62" t="s">
        <v>139</v>
      </c>
      <c r="B62" t="s">
        <v>224</v>
      </c>
      <c r="C62" t="s">
        <v>207</v>
      </c>
      <c r="D62" t="s">
        <v>213</v>
      </c>
      <c r="E62" t="s">
        <v>143</v>
      </c>
    </row>
    <row r="63" spans="1:5" x14ac:dyDescent="0.35">
      <c r="A63" t="s">
        <v>139</v>
      </c>
      <c r="B63" t="s">
        <v>225</v>
      </c>
      <c r="C63" t="s">
        <v>145</v>
      </c>
      <c r="D63" t="s">
        <v>213</v>
      </c>
      <c r="E63" t="s">
        <v>143</v>
      </c>
    </row>
    <row r="64" spans="1:5" x14ac:dyDescent="0.35">
      <c r="A64" t="s">
        <v>139</v>
      </c>
      <c r="B64" t="s">
        <v>226</v>
      </c>
      <c r="C64" t="s">
        <v>145</v>
      </c>
      <c r="D64" t="s">
        <v>213</v>
      </c>
      <c r="E64" t="s">
        <v>143</v>
      </c>
    </row>
    <row r="65" spans="1:5" x14ac:dyDescent="0.35">
      <c r="A65" t="s">
        <v>139</v>
      </c>
      <c r="B65" t="s">
        <v>227</v>
      </c>
      <c r="C65" t="s">
        <v>141</v>
      </c>
      <c r="D65" t="s">
        <v>213</v>
      </c>
      <c r="E65" t="s">
        <v>149</v>
      </c>
    </row>
    <row r="66" spans="1:5" x14ac:dyDescent="0.35">
      <c r="A66" t="s">
        <v>139</v>
      </c>
      <c r="B66" t="s">
        <v>228</v>
      </c>
      <c r="C66" t="s">
        <v>207</v>
      </c>
      <c r="D66" t="s">
        <v>213</v>
      </c>
      <c r="E66" t="s">
        <v>149</v>
      </c>
    </row>
    <row r="67" spans="1:5" x14ac:dyDescent="0.35">
      <c r="A67" t="s">
        <v>139</v>
      </c>
      <c r="B67" t="s">
        <v>229</v>
      </c>
      <c r="C67" t="s">
        <v>145</v>
      </c>
      <c r="D67" t="s">
        <v>213</v>
      </c>
      <c r="E67" t="s">
        <v>149</v>
      </c>
    </row>
    <row r="68" spans="1:5" x14ac:dyDescent="0.35">
      <c r="A68" t="s">
        <v>139</v>
      </c>
      <c r="B68" t="s">
        <v>230</v>
      </c>
      <c r="C68" t="s">
        <v>207</v>
      </c>
      <c r="D68" t="s">
        <v>213</v>
      </c>
      <c r="E68" t="s">
        <v>149</v>
      </c>
    </row>
    <row r="69" spans="1:5" x14ac:dyDescent="0.35">
      <c r="A69" t="s">
        <v>139</v>
      </c>
      <c r="B69" t="s">
        <v>231</v>
      </c>
      <c r="C69" t="s">
        <v>207</v>
      </c>
      <c r="D69" t="s">
        <v>213</v>
      </c>
      <c r="E69" t="s">
        <v>149</v>
      </c>
    </row>
    <row r="70" spans="1:5" x14ac:dyDescent="0.35">
      <c r="A70" t="s">
        <v>139</v>
      </c>
      <c r="B70" t="s">
        <v>232</v>
      </c>
      <c r="C70" t="s">
        <v>233</v>
      </c>
      <c r="D70" t="s">
        <v>213</v>
      </c>
      <c r="E70" t="s">
        <v>153</v>
      </c>
    </row>
    <row r="71" spans="1:5" x14ac:dyDescent="0.35">
      <c r="A71" t="s">
        <v>139</v>
      </c>
      <c r="B71" t="s">
        <v>234</v>
      </c>
      <c r="C71" t="s">
        <v>145</v>
      </c>
      <c r="D71" t="s">
        <v>213</v>
      </c>
      <c r="E71" t="s">
        <v>153</v>
      </c>
    </row>
    <row r="72" spans="1:5" x14ac:dyDescent="0.35">
      <c r="A72" t="s">
        <v>139</v>
      </c>
      <c r="B72" t="s">
        <v>235</v>
      </c>
      <c r="C72" t="s">
        <v>145</v>
      </c>
      <c r="D72" t="s">
        <v>213</v>
      </c>
      <c r="E72" t="s">
        <v>153</v>
      </c>
    </row>
    <row r="73" spans="1:5" x14ac:dyDescent="0.35">
      <c r="A73" t="s">
        <v>139</v>
      </c>
      <c r="B73" t="s">
        <v>236</v>
      </c>
      <c r="C73" t="s">
        <v>145</v>
      </c>
      <c r="D73" t="s">
        <v>213</v>
      </c>
      <c r="E73" t="s">
        <v>153</v>
      </c>
    </row>
    <row r="74" spans="1:5" x14ac:dyDescent="0.35">
      <c r="A74" t="s">
        <v>139</v>
      </c>
      <c r="B74" t="s">
        <v>237</v>
      </c>
      <c r="C74" t="s">
        <v>141</v>
      </c>
      <c r="D74" t="s">
        <v>213</v>
      </c>
      <c r="E74" t="s">
        <v>153</v>
      </c>
    </row>
    <row r="75" spans="1:5" x14ac:dyDescent="0.35">
      <c r="A75" t="s">
        <v>139</v>
      </c>
      <c r="B75" t="s">
        <v>238</v>
      </c>
      <c r="C75" t="s">
        <v>239</v>
      </c>
      <c r="D75" t="s">
        <v>213</v>
      </c>
      <c r="E75" t="s">
        <v>153</v>
      </c>
    </row>
    <row r="76" spans="1:5" x14ac:dyDescent="0.35">
      <c r="A76" t="s">
        <v>139</v>
      </c>
      <c r="B76" t="s">
        <v>240</v>
      </c>
      <c r="C76" t="s">
        <v>207</v>
      </c>
      <c r="D76" t="s">
        <v>213</v>
      </c>
      <c r="E76" t="s">
        <v>153</v>
      </c>
    </row>
    <row r="77" spans="1:5" x14ac:dyDescent="0.35">
      <c r="A77" t="s">
        <v>139</v>
      </c>
      <c r="B77" t="s">
        <v>241</v>
      </c>
      <c r="C77" t="s">
        <v>145</v>
      </c>
      <c r="D77" t="s">
        <v>213</v>
      </c>
      <c r="E77" t="s">
        <v>153</v>
      </c>
    </row>
    <row r="78" spans="1:5" x14ac:dyDescent="0.35">
      <c r="A78" t="s">
        <v>139</v>
      </c>
      <c r="B78" t="s">
        <v>242</v>
      </c>
      <c r="C78" t="s">
        <v>141</v>
      </c>
      <c r="D78" t="s">
        <v>213</v>
      </c>
      <c r="E78" t="s">
        <v>153</v>
      </c>
    </row>
    <row r="79" spans="1:5" x14ac:dyDescent="0.35">
      <c r="A79" t="s">
        <v>139</v>
      </c>
      <c r="B79" t="s">
        <v>243</v>
      </c>
      <c r="C79" t="s">
        <v>141</v>
      </c>
      <c r="D79" t="s">
        <v>213</v>
      </c>
      <c r="E79" t="s">
        <v>156</v>
      </c>
    </row>
    <row r="80" spans="1:5" x14ac:dyDescent="0.35">
      <c r="A80" t="s">
        <v>139</v>
      </c>
      <c r="B80" t="s">
        <v>244</v>
      </c>
      <c r="C80" t="s">
        <v>217</v>
      </c>
      <c r="D80" t="s">
        <v>213</v>
      </c>
      <c r="E80" t="s">
        <v>156</v>
      </c>
    </row>
    <row r="81" spans="1:5" x14ac:dyDescent="0.35">
      <c r="A81" t="s">
        <v>139</v>
      </c>
      <c r="B81" t="s">
        <v>245</v>
      </c>
      <c r="C81" t="s">
        <v>145</v>
      </c>
      <c r="D81" t="s">
        <v>213</v>
      </c>
      <c r="E81" t="s">
        <v>156</v>
      </c>
    </row>
    <row r="82" spans="1:5" x14ac:dyDescent="0.35">
      <c r="A82" t="s">
        <v>139</v>
      </c>
      <c r="B82" t="s">
        <v>246</v>
      </c>
      <c r="C82" t="s">
        <v>145</v>
      </c>
      <c r="D82" t="s">
        <v>213</v>
      </c>
      <c r="E82" t="s">
        <v>156</v>
      </c>
    </row>
    <row r="83" spans="1:5" x14ac:dyDescent="0.35">
      <c r="A83" t="s">
        <v>139</v>
      </c>
      <c r="B83" t="s">
        <v>247</v>
      </c>
      <c r="C83" t="s">
        <v>145</v>
      </c>
      <c r="D83" t="s">
        <v>213</v>
      </c>
      <c r="E83" t="s">
        <v>156</v>
      </c>
    </row>
    <row r="84" spans="1:5" x14ac:dyDescent="0.35">
      <c r="A84" t="s">
        <v>139</v>
      </c>
      <c r="B84" t="s">
        <v>248</v>
      </c>
      <c r="C84" t="s">
        <v>145</v>
      </c>
      <c r="D84" t="s">
        <v>213</v>
      </c>
      <c r="E84" t="s">
        <v>156</v>
      </c>
    </row>
    <row r="85" spans="1:5" x14ac:dyDescent="0.35">
      <c r="A85" t="s">
        <v>139</v>
      </c>
      <c r="B85" t="s">
        <v>249</v>
      </c>
      <c r="C85" t="s">
        <v>145</v>
      </c>
      <c r="D85" t="s">
        <v>213</v>
      </c>
      <c r="E85" t="s">
        <v>156</v>
      </c>
    </row>
    <row r="86" spans="1:5" x14ac:dyDescent="0.35">
      <c r="A86" t="s">
        <v>139</v>
      </c>
      <c r="B86" t="s">
        <v>250</v>
      </c>
      <c r="C86" t="s">
        <v>145</v>
      </c>
      <c r="D86" t="s">
        <v>213</v>
      </c>
      <c r="E86" t="s">
        <v>162</v>
      </c>
    </row>
    <row r="87" spans="1:5" x14ac:dyDescent="0.35">
      <c r="A87" t="s">
        <v>139</v>
      </c>
      <c r="B87" t="s">
        <v>251</v>
      </c>
      <c r="C87" t="s">
        <v>145</v>
      </c>
      <c r="D87" t="s">
        <v>213</v>
      </c>
      <c r="E87" t="s">
        <v>162</v>
      </c>
    </row>
    <row r="88" spans="1:5" x14ac:dyDescent="0.35">
      <c r="A88" t="s">
        <v>139</v>
      </c>
      <c r="B88" t="s">
        <v>252</v>
      </c>
      <c r="C88" t="s">
        <v>141</v>
      </c>
      <c r="D88" t="s">
        <v>213</v>
      </c>
      <c r="E88" t="s">
        <v>162</v>
      </c>
    </row>
    <row r="89" spans="1:5" x14ac:dyDescent="0.35">
      <c r="A89" t="s">
        <v>139</v>
      </c>
      <c r="B89" t="s">
        <v>253</v>
      </c>
      <c r="C89" t="s">
        <v>141</v>
      </c>
      <c r="D89" t="s">
        <v>213</v>
      </c>
      <c r="E89" t="s">
        <v>162</v>
      </c>
    </row>
    <row r="90" spans="1:5" x14ac:dyDescent="0.35">
      <c r="A90" t="s">
        <v>139</v>
      </c>
      <c r="B90" t="s">
        <v>254</v>
      </c>
      <c r="C90" t="s">
        <v>145</v>
      </c>
      <c r="D90" t="s">
        <v>213</v>
      </c>
      <c r="E90" t="s">
        <v>162</v>
      </c>
    </row>
    <row r="91" spans="1:5" x14ac:dyDescent="0.35">
      <c r="A91" t="s">
        <v>139</v>
      </c>
      <c r="B91" t="s">
        <v>255</v>
      </c>
      <c r="C91" t="s">
        <v>141</v>
      </c>
      <c r="D91" t="s">
        <v>213</v>
      </c>
      <c r="E91" t="s">
        <v>162</v>
      </c>
    </row>
    <row r="92" spans="1:5" x14ac:dyDescent="0.35">
      <c r="A92" t="s">
        <v>139</v>
      </c>
      <c r="B92" t="s">
        <v>256</v>
      </c>
      <c r="C92" t="s">
        <v>145</v>
      </c>
      <c r="D92" t="s">
        <v>213</v>
      </c>
      <c r="E92" t="s">
        <v>165</v>
      </c>
    </row>
    <row r="93" spans="1:5" x14ac:dyDescent="0.35">
      <c r="A93" t="s">
        <v>139</v>
      </c>
      <c r="B93" t="s">
        <v>257</v>
      </c>
      <c r="C93" t="s">
        <v>217</v>
      </c>
      <c r="D93" t="s">
        <v>213</v>
      </c>
      <c r="E93" t="s">
        <v>165</v>
      </c>
    </row>
    <row r="94" spans="1:5" x14ac:dyDescent="0.35">
      <c r="A94" t="s">
        <v>139</v>
      </c>
      <c r="B94" t="s">
        <v>258</v>
      </c>
      <c r="C94" t="s">
        <v>145</v>
      </c>
      <c r="D94" t="s">
        <v>213</v>
      </c>
      <c r="E94" t="s">
        <v>165</v>
      </c>
    </row>
    <row r="95" spans="1:5" x14ac:dyDescent="0.35">
      <c r="A95" t="s">
        <v>139</v>
      </c>
      <c r="B95" t="s">
        <v>259</v>
      </c>
      <c r="C95" t="s">
        <v>145</v>
      </c>
      <c r="D95" t="s">
        <v>213</v>
      </c>
      <c r="E95" t="s">
        <v>165</v>
      </c>
    </row>
    <row r="96" spans="1:5" x14ac:dyDescent="0.35">
      <c r="A96" t="s">
        <v>139</v>
      </c>
      <c r="B96" t="s">
        <v>260</v>
      </c>
      <c r="C96" t="s">
        <v>145</v>
      </c>
      <c r="D96" t="s">
        <v>213</v>
      </c>
      <c r="E96" t="s">
        <v>167</v>
      </c>
    </row>
    <row r="97" spans="1:5" x14ac:dyDescent="0.35">
      <c r="A97" t="s">
        <v>139</v>
      </c>
      <c r="B97" t="s">
        <v>261</v>
      </c>
      <c r="C97" t="s">
        <v>145</v>
      </c>
      <c r="D97" t="s">
        <v>213</v>
      </c>
      <c r="E97" t="s">
        <v>167</v>
      </c>
    </row>
    <row r="98" spans="1:5" x14ac:dyDescent="0.35">
      <c r="A98" t="s">
        <v>139</v>
      </c>
      <c r="B98" t="s">
        <v>262</v>
      </c>
      <c r="C98" t="s">
        <v>239</v>
      </c>
      <c r="D98" t="s">
        <v>213</v>
      </c>
      <c r="E98" t="s">
        <v>167</v>
      </c>
    </row>
    <row r="99" spans="1:5" x14ac:dyDescent="0.35">
      <c r="A99" t="s">
        <v>139</v>
      </c>
      <c r="B99" t="s">
        <v>263</v>
      </c>
      <c r="C99" t="s">
        <v>207</v>
      </c>
      <c r="D99" t="s">
        <v>213</v>
      </c>
      <c r="E99" t="s">
        <v>167</v>
      </c>
    </row>
    <row r="100" spans="1:5" x14ac:dyDescent="0.35">
      <c r="A100" t="s">
        <v>139</v>
      </c>
      <c r="B100" t="s">
        <v>264</v>
      </c>
      <c r="C100" t="s">
        <v>145</v>
      </c>
      <c r="D100" t="s">
        <v>213</v>
      </c>
      <c r="E100" t="s">
        <v>167</v>
      </c>
    </row>
    <row r="101" spans="1:5" x14ac:dyDescent="0.35">
      <c r="A101" t="s">
        <v>139</v>
      </c>
      <c r="B101" t="s">
        <v>265</v>
      </c>
      <c r="C101" t="s">
        <v>145</v>
      </c>
      <c r="D101" t="s">
        <v>213</v>
      </c>
      <c r="E101" t="s">
        <v>170</v>
      </c>
    </row>
    <row r="102" spans="1:5" x14ac:dyDescent="0.35">
      <c r="A102" t="s">
        <v>139</v>
      </c>
      <c r="B102" t="s">
        <v>266</v>
      </c>
      <c r="C102" t="s">
        <v>207</v>
      </c>
      <c r="D102" t="s">
        <v>213</v>
      </c>
      <c r="E102" t="s">
        <v>170</v>
      </c>
    </row>
    <row r="103" spans="1:5" x14ac:dyDescent="0.35">
      <c r="A103" t="s">
        <v>139</v>
      </c>
      <c r="B103" t="s">
        <v>267</v>
      </c>
      <c r="C103" t="s">
        <v>145</v>
      </c>
      <c r="D103" t="s">
        <v>213</v>
      </c>
      <c r="E103" t="s">
        <v>170</v>
      </c>
    </row>
    <row r="104" spans="1:5" x14ac:dyDescent="0.35">
      <c r="A104" t="s">
        <v>139</v>
      </c>
      <c r="B104" t="s">
        <v>268</v>
      </c>
      <c r="C104" t="s">
        <v>141</v>
      </c>
      <c r="D104" t="s">
        <v>213</v>
      </c>
      <c r="E104" t="s">
        <v>170</v>
      </c>
    </row>
    <row r="105" spans="1:5" x14ac:dyDescent="0.35">
      <c r="A105" t="s">
        <v>139</v>
      </c>
      <c r="B105" t="s">
        <v>269</v>
      </c>
      <c r="C105" t="s">
        <v>145</v>
      </c>
      <c r="D105" t="s">
        <v>213</v>
      </c>
      <c r="E105" t="s">
        <v>170</v>
      </c>
    </row>
    <row r="106" spans="1:5" x14ac:dyDescent="0.35">
      <c r="A106" t="s">
        <v>139</v>
      </c>
      <c r="B106" t="s">
        <v>270</v>
      </c>
      <c r="C106" t="s">
        <v>145</v>
      </c>
      <c r="D106" t="s">
        <v>213</v>
      </c>
      <c r="E106" t="s">
        <v>170</v>
      </c>
    </row>
    <row r="107" spans="1:5" x14ac:dyDescent="0.35">
      <c r="A107" t="s">
        <v>139</v>
      </c>
      <c r="B107" t="s">
        <v>271</v>
      </c>
      <c r="C107" t="s">
        <v>141</v>
      </c>
      <c r="D107" t="s">
        <v>213</v>
      </c>
      <c r="E107" t="s">
        <v>170</v>
      </c>
    </row>
    <row r="108" spans="1:5" x14ac:dyDescent="0.35">
      <c r="A108" t="s">
        <v>139</v>
      </c>
      <c r="B108" t="s">
        <v>272</v>
      </c>
      <c r="C108" t="s">
        <v>145</v>
      </c>
      <c r="D108" t="s">
        <v>213</v>
      </c>
      <c r="E108" t="s">
        <v>170</v>
      </c>
    </row>
    <row r="109" spans="1:5" x14ac:dyDescent="0.35">
      <c r="A109" t="s">
        <v>139</v>
      </c>
      <c r="B109" t="s">
        <v>273</v>
      </c>
      <c r="C109" t="s">
        <v>145</v>
      </c>
      <c r="D109" t="s">
        <v>213</v>
      </c>
      <c r="E109" t="s">
        <v>170</v>
      </c>
    </row>
    <row r="110" spans="1:5" x14ac:dyDescent="0.35">
      <c r="A110" t="s">
        <v>139</v>
      </c>
      <c r="B110" t="s">
        <v>274</v>
      </c>
      <c r="C110" t="s">
        <v>141</v>
      </c>
      <c r="D110" t="s">
        <v>213</v>
      </c>
      <c r="E110" t="s">
        <v>170</v>
      </c>
    </row>
    <row r="111" spans="1:5" x14ac:dyDescent="0.35">
      <c r="A111" t="s">
        <v>139</v>
      </c>
      <c r="B111" t="s">
        <v>275</v>
      </c>
      <c r="C111" t="s">
        <v>145</v>
      </c>
      <c r="D111" t="s">
        <v>213</v>
      </c>
      <c r="E111" t="s">
        <v>170</v>
      </c>
    </row>
    <row r="112" spans="1:5" x14ac:dyDescent="0.35">
      <c r="A112" t="s">
        <v>139</v>
      </c>
      <c r="B112" t="s">
        <v>276</v>
      </c>
      <c r="C112" t="s">
        <v>145</v>
      </c>
      <c r="D112" t="s">
        <v>213</v>
      </c>
      <c r="E112" t="s">
        <v>170</v>
      </c>
    </row>
    <row r="113" spans="1:5" x14ac:dyDescent="0.35">
      <c r="A113" t="s">
        <v>139</v>
      </c>
      <c r="B113" t="s">
        <v>277</v>
      </c>
      <c r="C113" t="s">
        <v>207</v>
      </c>
      <c r="D113" t="s">
        <v>213</v>
      </c>
      <c r="E113" t="s">
        <v>173</v>
      </c>
    </row>
    <row r="114" spans="1:5" x14ac:dyDescent="0.35">
      <c r="A114" t="s">
        <v>139</v>
      </c>
      <c r="B114" t="s">
        <v>278</v>
      </c>
      <c r="C114" t="s">
        <v>207</v>
      </c>
      <c r="D114" t="s">
        <v>213</v>
      </c>
      <c r="E114" t="s">
        <v>173</v>
      </c>
    </row>
    <row r="115" spans="1:5" x14ac:dyDescent="0.35">
      <c r="A115" t="s">
        <v>139</v>
      </c>
      <c r="B115" t="s">
        <v>279</v>
      </c>
      <c r="C115" t="s">
        <v>145</v>
      </c>
      <c r="D115" t="s">
        <v>213</v>
      </c>
      <c r="E115" t="s">
        <v>173</v>
      </c>
    </row>
    <row r="116" spans="1:5" x14ac:dyDescent="0.35">
      <c r="A116" t="s">
        <v>139</v>
      </c>
      <c r="B116" t="s">
        <v>280</v>
      </c>
      <c r="C116" t="s">
        <v>207</v>
      </c>
      <c r="D116" t="s">
        <v>213</v>
      </c>
      <c r="E116" t="s">
        <v>173</v>
      </c>
    </row>
    <row r="117" spans="1:5" x14ac:dyDescent="0.35">
      <c r="A117" t="s">
        <v>139</v>
      </c>
      <c r="B117" t="s">
        <v>281</v>
      </c>
      <c r="C117" t="s">
        <v>207</v>
      </c>
      <c r="D117" t="s">
        <v>213</v>
      </c>
      <c r="E117" t="s">
        <v>173</v>
      </c>
    </row>
    <row r="118" spans="1:5" x14ac:dyDescent="0.35">
      <c r="A118" t="s">
        <v>139</v>
      </c>
      <c r="B118" t="s">
        <v>282</v>
      </c>
      <c r="C118" t="s">
        <v>207</v>
      </c>
      <c r="D118" t="s">
        <v>213</v>
      </c>
      <c r="E118" t="s">
        <v>173</v>
      </c>
    </row>
    <row r="119" spans="1:5" x14ac:dyDescent="0.35">
      <c r="A119" t="s">
        <v>139</v>
      </c>
      <c r="B119" t="s">
        <v>283</v>
      </c>
      <c r="C119" t="s">
        <v>145</v>
      </c>
      <c r="D119" t="s">
        <v>213</v>
      </c>
      <c r="E119" t="s">
        <v>178</v>
      </c>
    </row>
    <row r="120" spans="1:5" x14ac:dyDescent="0.35">
      <c r="A120" t="s">
        <v>139</v>
      </c>
      <c r="B120" t="s">
        <v>284</v>
      </c>
      <c r="C120" t="s">
        <v>145</v>
      </c>
      <c r="D120" t="s">
        <v>213</v>
      </c>
      <c r="E120" t="s">
        <v>178</v>
      </c>
    </row>
    <row r="121" spans="1:5" x14ac:dyDescent="0.35">
      <c r="A121" t="s">
        <v>139</v>
      </c>
      <c r="B121" t="s">
        <v>285</v>
      </c>
      <c r="C121" t="s">
        <v>141</v>
      </c>
      <c r="D121" t="s">
        <v>213</v>
      </c>
      <c r="E121" t="s">
        <v>178</v>
      </c>
    </row>
    <row r="122" spans="1:5" x14ac:dyDescent="0.35">
      <c r="A122" t="s">
        <v>139</v>
      </c>
      <c r="B122" t="s">
        <v>286</v>
      </c>
      <c r="C122" t="s">
        <v>145</v>
      </c>
      <c r="D122" t="s">
        <v>213</v>
      </c>
      <c r="E122" t="s">
        <v>178</v>
      </c>
    </row>
    <row r="123" spans="1:5" x14ac:dyDescent="0.35">
      <c r="A123" t="s">
        <v>139</v>
      </c>
      <c r="B123" t="s">
        <v>287</v>
      </c>
      <c r="C123" t="s">
        <v>145</v>
      </c>
      <c r="D123" t="s">
        <v>213</v>
      </c>
      <c r="E123" t="s">
        <v>178</v>
      </c>
    </row>
    <row r="124" spans="1:5" x14ac:dyDescent="0.35">
      <c r="A124" t="s">
        <v>139</v>
      </c>
      <c r="B124" t="s">
        <v>288</v>
      </c>
      <c r="C124" t="s">
        <v>145</v>
      </c>
      <c r="D124" t="s">
        <v>213</v>
      </c>
      <c r="E124" t="s">
        <v>178</v>
      </c>
    </row>
    <row r="125" spans="1:5" x14ac:dyDescent="0.35">
      <c r="A125" t="s">
        <v>139</v>
      </c>
      <c r="B125" t="s">
        <v>289</v>
      </c>
      <c r="C125" t="s">
        <v>141</v>
      </c>
      <c r="D125" t="s">
        <v>213</v>
      </c>
      <c r="E125" t="s">
        <v>183</v>
      </c>
    </row>
    <row r="126" spans="1:5" x14ac:dyDescent="0.35">
      <c r="A126" t="s">
        <v>139</v>
      </c>
      <c r="B126" t="s">
        <v>290</v>
      </c>
      <c r="C126" t="s">
        <v>145</v>
      </c>
      <c r="D126" t="s">
        <v>213</v>
      </c>
      <c r="E126" t="s">
        <v>183</v>
      </c>
    </row>
    <row r="127" spans="1:5" x14ac:dyDescent="0.35">
      <c r="A127" t="s">
        <v>139</v>
      </c>
      <c r="B127" t="s">
        <v>291</v>
      </c>
      <c r="C127" t="s">
        <v>145</v>
      </c>
      <c r="D127" t="s">
        <v>213</v>
      </c>
      <c r="E127" t="s">
        <v>183</v>
      </c>
    </row>
    <row r="128" spans="1:5" x14ac:dyDescent="0.35">
      <c r="A128" t="s">
        <v>139</v>
      </c>
      <c r="B128" t="s">
        <v>292</v>
      </c>
      <c r="C128" t="s">
        <v>217</v>
      </c>
      <c r="D128" t="s">
        <v>213</v>
      </c>
      <c r="E128" t="s">
        <v>183</v>
      </c>
    </row>
    <row r="129" spans="1:5" x14ac:dyDescent="0.35">
      <c r="A129" t="s">
        <v>139</v>
      </c>
      <c r="B129" t="s">
        <v>293</v>
      </c>
      <c r="C129" t="s">
        <v>207</v>
      </c>
      <c r="D129" t="s">
        <v>213</v>
      </c>
      <c r="E129" t="s">
        <v>183</v>
      </c>
    </row>
    <row r="130" spans="1:5" x14ac:dyDescent="0.35">
      <c r="A130" t="s">
        <v>139</v>
      </c>
      <c r="B130" t="s">
        <v>294</v>
      </c>
      <c r="C130" t="s">
        <v>141</v>
      </c>
      <c r="D130" t="s">
        <v>213</v>
      </c>
      <c r="E130" t="s">
        <v>183</v>
      </c>
    </row>
    <row r="131" spans="1:5" x14ac:dyDescent="0.35">
      <c r="A131" t="s">
        <v>139</v>
      </c>
      <c r="B131" t="s">
        <v>295</v>
      </c>
      <c r="C131" t="s">
        <v>239</v>
      </c>
      <c r="D131" t="s">
        <v>213</v>
      </c>
      <c r="E131" t="s">
        <v>183</v>
      </c>
    </row>
    <row r="132" spans="1:5" x14ac:dyDescent="0.35">
      <c r="A132" t="s">
        <v>139</v>
      </c>
      <c r="B132" t="s">
        <v>296</v>
      </c>
      <c r="C132" t="s">
        <v>145</v>
      </c>
      <c r="D132" t="s">
        <v>213</v>
      </c>
      <c r="E132" t="s">
        <v>183</v>
      </c>
    </row>
    <row r="133" spans="1:5" x14ac:dyDescent="0.35">
      <c r="A133" t="s">
        <v>139</v>
      </c>
      <c r="B133" t="s">
        <v>297</v>
      </c>
      <c r="C133" t="s">
        <v>141</v>
      </c>
      <c r="D133" t="s">
        <v>213</v>
      </c>
      <c r="E133" t="s">
        <v>183</v>
      </c>
    </row>
    <row r="134" spans="1:5" x14ac:dyDescent="0.35">
      <c r="A134" t="s">
        <v>139</v>
      </c>
      <c r="B134" t="s">
        <v>298</v>
      </c>
      <c r="C134" t="s">
        <v>145</v>
      </c>
      <c r="D134" t="s">
        <v>213</v>
      </c>
      <c r="E134" t="s">
        <v>189</v>
      </c>
    </row>
    <row r="135" spans="1:5" x14ac:dyDescent="0.35">
      <c r="A135" t="s">
        <v>139</v>
      </c>
      <c r="B135" t="s">
        <v>299</v>
      </c>
      <c r="C135" t="s">
        <v>239</v>
      </c>
      <c r="D135" t="s">
        <v>213</v>
      </c>
      <c r="E135" t="s">
        <v>189</v>
      </c>
    </row>
    <row r="136" spans="1:5" x14ac:dyDescent="0.35">
      <c r="A136" t="s">
        <v>139</v>
      </c>
      <c r="B136" t="s">
        <v>300</v>
      </c>
      <c r="C136" t="s">
        <v>239</v>
      </c>
      <c r="D136" t="s">
        <v>213</v>
      </c>
      <c r="E136" t="s">
        <v>301</v>
      </c>
    </row>
    <row r="137" spans="1:5" x14ac:dyDescent="0.35">
      <c r="A137" t="s">
        <v>139</v>
      </c>
      <c r="B137" t="s">
        <v>302</v>
      </c>
      <c r="C137" t="s">
        <v>145</v>
      </c>
      <c r="D137" t="s">
        <v>213</v>
      </c>
      <c r="E137" t="s">
        <v>191</v>
      </c>
    </row>
    <row r="138" spans="1:5" x14ac:dyDescent="0.35">
      <c r="A138" t="s">
        <v>139</v>
      </c>
      <c r="B138" t="s">
        <v>303</v>
      </c>
      <c r="C138" t="s">
        <v>141</v>
      </c>
      <c r="D138" t="s">
        <v>213</v>
      </c>
      <c r="E138" t="s">
        <v>191</v>
      </c>
    </row>
    <row r="139" spans="1:5" x14ac:dyDescent="0.35">
      <c r="A139" t="s">
        <v>139</v>
      </c>
      <c r="B139" t="s">
        <v>304</v>
      </c>
      <c r="C139" t="s">
        <v>145</v>
      </c>
      <c r="D139" t="s">
        <v>213</v>
      </c>
      <c r="E139" t="s">
        <v>191</v>
      </c>
    </row>
    <row r="140" spans="1:5" x14ac:dyDescent="0.35">
      <c r="A140" t="s">
        <v>139</v>
      </c>
      <c r="B140" t="s">
        <v>305</v>
      </c>
      <c r="C140" t="s">
        <v>141</v>
      </c>
      <c r="D140" t="s">
        <v>213</v>
      </c>
      <c r="E140" t="s">
        <v>191</v>
      </c>
    </row>
    <row r="141" spans="1:5" x14ac:dyDescent="0.35">
      <c r="A141" t="s">
        <v>139</v>
      </c>
      <c r="B141" t="s">
        <v>306</v>
      </c>
      <c r="C141" t="s">
        <v>207</v>
      </c>
      <c r="D141" t="s">
        <v>213</v>
      </c>
      <c r="E141" t="s">
        <v>191</v>
      </c>
    </row>
    <row r="142" spans="1:5" x14ac:dyDescent="0.35">
      <c r="A142" t="s">
        <v>139</v>
      </c>
      <c r="B142" t="s">
        <v>307</v>
      </c>
      <c r="C142" t="s">
        <v>207</v>
      </c>
      <c r="D142" t="s">
        <v>213</v>
      </c>
      <c r="E142" t="s">
        <v>191</v>
      </c>
    </row>
    <row r="143" spans="1:5" x14ac:dyDescent="0.35">
      <c r="A143" t="s">
        <v>139</v>
      </c>
      <c r="B143" t="s">
        <v>308</v>
      </c>
      <c r="C143" t="s">
        <v>207</v>
      </c>
      <c r="D143" t="s">
        <v>213</v>
      </c>
      <c r="E143" t="s">
        <v>196</v>
      </c>
    </row>
    <row r="144" spans="1:5" x14ac:dyDescent="0.35">
      <c r="A144" t="s">
        <v>139</v>
      </c>
      <c r="B144" t="s">
        <v>309</v>
      </c>
      <c r="C144" t="s">
        <v>145</v>
      </c>
      <c r="D144" t="s">
        <v>213</v>
      </c>
      <c r="E144" t="s">
        <v>196</v>
      </c>
    </row>
    <row r="145" spans="1:5" x14ac:dyDescent="0.35">
      <c r="A145" t="s">
        <v>139</v>
      </c>
      <c r="B145" t="s">
        <v>310</v>
      </c>
      <c r="C145" t="s">
        <v>145</v>
      </c>
      <c r="D145" t="s">
        <v>213</v>
      </c>
      <c r="E145" t="s">
        <v>196</v>
      </c>
    </row>
    <row r="146" spans="1:5" x14ac:dyDescent="0.35">
      <c r="A146" t="s">
        <v>139</v>
      </c>
      <c r="B146" t="s">
        <v>311</v>
      </c>
      <c r="C146" t="s">
        <v>312</v>
      </c>
      <c r="D146" t="s">
        <v>213</v>
      </c>
      <c r="E146" t="s">
        <v>143</v>
      </c>
    </row>
    <row r="147" spans="1:5" x14ac:dyDescent="0.35">
      <c r="A147" t="s">
        <v>139</v>
      </c>
      <c r="B147" t="s">
        <v>313</v>
      </c>
      <c r="C147" t="s">
        <v>207</v>
      </c>
      <c r="D147" t="s">
        <v>314</v>
      </c>
      <c r="E147" t="s">
        <v>214</v>
      </c>
    </row>
    <row r="148" spans="1:5" x14ac:dyDescent="0.35">
      <c r="A148" t="s">
        <v>139</v>
      </c>
      <c r="B148" t="s">
        <v>315</v>
      </c>
      <c r="C148" t="s">
        <v>207</v>
      </c>
      <c r="D148" t="s">
        <v>314</v>
      </c>
      <c r="E148" t="s">
        <v>214</v>
      </c>
    </row>
    <row r="149" spans="1:5" x14ac:dyDescent="0.35">
      <c r="A149" t="s">
        <v>139</v>
      </c>
      <c r="B149" t="s">
        <v>316</v>
      </c>
      <c r="C149" t="s">
        <v>207</v>
      </c>
      <c r="D149" t="s">
        <v>314</v>
      </c>
      <c r="E149" t="s">
        <v>143</v>
      </c>
    </row>
    <row r="150" spans="1:5" x14ac:dyDescent="0.35">
      <c r="A150" t="s">
        <v>139</v>
      </c>
      <c r="B150" t="s">
        <v>317</v>
      </c>
      <c r="C150" t="s">
        <v>207</v>
      </c>
      <c r="D150" t="s">
        <v>314</v>
      </c>
      <c r="E150" t="s">
        <v>143</v>
      </c>
    </row>
    <row r="151" spans="1:5" x14ac:dyDescent="0.35">
      <c r="A151" t="s">
        <v>139</v>
      </c>
      <c r="B151" t="s">
        <v>318</v>
      </c>
      <c r="C151" t="s">
        <v>207</v>
      </c>
      <c r="D151" t="s">
        <v>314</v>
      </c>
      <c r="E151" t="s">
        <v>143</v>
      </c>
    </row>
    <row r="152" spans="1:5" x14ac:dyDescent="0.35">
      <c r="A152" t="s">
        <v>139</v>
      </c>
      <c r="B152" t="s">
        <v>319</v>
      </c>
      <c r="C152" t="s">
        <v>207</v>
      </c>
      <c r="D152" t="s">
        <v>314</v>
      </c>
      <c r="E152" t="s">
        <v>143</v>
      </c>
    </row>
    <row r="153" spans="1:5" x14ac:dyDescent="0.35">
      <c r="A153" t="s">
        <v>139</v>
      </c>
      <c r="B153" t="s">
        <v>320</v>
      </c>
      <c r="C153" t="s">
        <v>207</v>
      </c>
      <c r="D153" t="s">
        <v>314</v>
      </c>
      <c r="E153" t="s">
        <v>143</v>
      </c>
    </row>
    <row r="154" spans="1:5" x14ac:dyDescent="0.35">
      <c r="A154" t="s">
        <v>139</v>
      </c>
      <c r="B154" t="s">
        <v>321</v>
      </c>
      <c r="C154" t="s">
        <v>207</v>
      </c>
      <c r="D154" t="s">
        <v>314</v>
      </c>
      <c r="E154" t="s">
        <v>153</v>
      </c>
    </row>
    <row r="155" spans="1:5" x14ac:dyDescent="0.35">
      <c r="A155" t="s">
        <v>139</v>
      </c>
      <c r="B155" t="s">
        <v>322</v>
      </c>
      <c r="C155" t="s">
        <v>141</v>
      </c>
      <c r="D155" t="s">
        <v>314</v>
      </c>
      <c r="E155" t="s">
        <v>153</v>
      </c>
    </row>
    <row r="156" spans="1:5" x14ac:dyDescent="0.35">
      <c r="A156" t="s">
        <v>139</v>
      </c>
      <c r="B156" t="s">
        <v>323</v>
      </c>
      <c r="C156" t="s">
        <v>207</v>
      </c>
      <c r="D156" t="s">
        <v>314</v>
      </c>
      <c r="E156" t="s">
        <v>153</v>
      </c>
    </row>
    <row r="157" spans="1:5" x14ac:dyDescent="0.35">
      <c r="A157" t="s">
        <v>139</v>
      </c>
      <c r="B157" t="s">
        <v>324</v>
      </c>
      <c r="C157" t="s">
        <v>207</v>
      </c>
      <c r="D157" t="s">
        <v>314</v>
      </c>
      <c r="E157" t="s">
        <v>153</v>
      </c>
    </row>
    <row r="158" spans="1:5" x14ac:dyDescent="0.35">
      <c r="A158" t="s">
        <v>139</v>
      </c>
      <c r="B158" t="s">
        <v>325</v>
      </c>
      <c r="C158" t="s">
        <v>207</v>
      </c>
      <c r="D158" t="s">
        <v>314</v>
      </c>
      <c r="E158" t="s">
        <v>153</v>
      </c>
    </row>
    <row r="159" spans="1:5" x14ac:dyDescent="0.35">
      <c r="A159" t="s">
        <v>139</v>
      </c>
      <c r="B159" t="s">
        <v>326</v>
      </c>
      <c r="C159" t="s">
        <v>207</v>
      </c>
      <c r="D159" t="s">
        <v>314</v>
      </c>
      <c r="E159" t="s">
        <v>153</v>
      </c>
    </row>
    <row r="160" spans="1:5" x14ac:dyDescent="0.35">
      <c r="A160" t="s">
        <v>139</v>
      </c>
      <c r="B160" t="s">
        <v>327</v>
      </c>
      <c r="C160" t="s">
        <v>145</v>
      </c>
      <c r="D160" t="s">
        <v>314</v>
      </c>
      <c r="E160" t="s">
        <v>156</v>
      </c>
    </row>
    <row r="161" spans="1:5" x14ac:dyDescent="0.35">
      <c r="A161" t="s">
        <v>139</v>
      </c>
      <c r="B161" t="s">
        <v>328</v>
      </c>
      <c r="C161" t="s">
        <v>141</v>
      </c>
      <c r="D161" t="s">
        <v>314</v>
      </c>
      <c r="E161" t="s">
        <v>156</v>
      </c>
    </row>
    <row r="162" spans="1:5" x14ac:dyDescent="0.35">
      <c r="A162" t="s">
        <v>139</v>
      </c>
      <c r="B162" t="s">
        <v>329</v>
      </c>
      <c r="C162" t="s">
        <v>207</v>
      </c>
      <c r="D162" t="s">
        <v>314</v>
      </c>
      <c r="E162" t="s">
        <v>156</v>
      </c>
    </row>
    <row r="163" spans="1:5" x14ac:dyDescent="0.35">
      <c r="A163" t="s">
        <v>139</v>
      </c>
      <c r="B163" t="s">
        <v>330</v>
      </c>
      <c r="C163" t="s">
        <v>207</v>
      </c>
      <c r="D163" t="s">
        <v>314</v>
      </c>
      <c r="E163" t="s">
        <v>156</v>
      </c>
    </row>
    <row r="164" spans="1:5" x14ac:dyDescent="0.35">
      <c r="A164" t="s">
        <v>139</v>
      </c>
      <c r="B164" t="s">
        <v>331</v>
      </c>
      <c r="C164" t="s">
        <v>207</v>
      </c>
      <c r="D164" t="s">
        <v>314</v>
      </c>
      <c r="E164" t="s">
        <v>162</v>
      </c>
    </row>
    <row r="165" spans="1:5" x14ac:dyDescent="0.35">
      <c r="A165" t="s">
        <v>139</v>
      </c>
      <c r="B165" t="s">
        <v>332</v>
      </c>
      <c r="C165" t="s">
        <v>207</v>
      </c>
      <c r="D165" t="s">
        <v>314</v>
      </c>
      <c r="E165" t="s">
        <v>162</v>
      </c>
    </row>
    <row r="166" spans="1:5" x14ac:dyDescent="0.35">
      <c r="A166" t="s">
        <v>139</v>
      </c>
      <c r="B166" t="s">
        <v>333</v>
      </c>
      <c r="C166" t="s">
        <v>207</v>
      </c>
      <c r="D166" t="s">
        <v>314</v>
      </c>
      <c r="E166" t="s">
        <v>162</v>
      </c>
    </row>
    <row r="167" spans="1:5" x14ac:dyDescent="0.35">
      <c r="A167" t="s">
        <v>139</v>
      </c>
      <c r="B167" t="s">
        <v>334</v>
      </c>
      <c r="C167" t="s">
        <v>145</v>
      </c>
      <c r="D167" t="s">
        <v>314</v>
      </c>
      <c r="E167" t="s">
        <v>165</v>
      </c>
    </row>
    <row r="168" spans="1:5" x14ac:dyDescent="0.35">
      <c r="A168" t="s">
        <v>139</v>
      </c>
      <c r="B168" t="s">
        <v>335</v>
      </c>
      <c r="C168" t="s">
        <v>336</v>
      </c>
      <c r="D168" t="s">
        <v>314</v>
      </c>
      <c r="E168" t="s">
        <v>165</v>
      </c>
    </row>
    <row r="169" spans="1:5" x14ac:dyDescent="0.35">
      <c r="A169" t="s">
        <v>139</v>
      </c>
      <c r="B169" t="s">
        <v>337</v>
      </c>
      <c r="C169" t="s">
        <v>207</v>
      </c>
      <c r="D169" t="s">
        <v>314</v>
      </c>
      <c r="E169" t="s">
        <v>165</v>
      </c>
    </row>
    <row r="170" spans="1:5" x14ac:dyDescent="0.35">
      <c r="A170" t="s">
        <v>139</v>
      </c>
      <c r="B170" t="s">
        <v>338</v>
      </c>
      <c r="C170" t="s">
        <v>207</v>
      </c>
      <c r="D170" t="s">
        <v>314</v>
      </c>
      <c r="E170" t="s">
        <v>165</v>
      </c>
    </row>
    <row r="171" spans="1:5" x14ac:dyDescent="0.35">
      <c r="A171" t="s">
        <v>139</v>
      </c>
      <c r="B171" t="s">
        <v>339</v>
      </c>
      <c r="C171" t="s">
        <v>207</v>
      </c>
      <c r="D171" t="s">
        <v>314</v>
      </c>
      <c r="E171" t="s">
        <v>167</v>
      </c>
    </row>
    <row r="172" spans="1:5" x14ac:dyDescent="0.35">
      <c r="A172" t="s">
        <v>139</v>
      </c>
      <c r="B172" t="s">
        <v>340</v>
      </c>
      <c r="C172" t="s">
        <v>207</v>
      </c>
      <c r="D172" t="s">
        <v>314</v>
      </c>
      <c r="E172" t="s">
        <v>170</v>
      </c>
    </row>
    <row r="173" spans="1:5" x14ac:dyDescent="0.35">
      <c r="A173" t="s">
        <v>139</v>
      </c>
      <c r="B173" t="s">
        <v>341</v>
      </c>
      <c r="C173" t="s">
        <v>145</v>
      </c>
      <c r="D173" t="s">
        <v>314</v>
      </c>
      <c r="E173" t="s">
        <v>170</v>
      </c>
    </row>
    <row r="174" spans="1:5" x14ac:dyDescent="0.35">
      <c r="A174" t="s">
        <v>139</v>
      </c>
      <c r="B174" t="s">
        <v>342</v>
      </c>
      <c r="C174" t="s">
        <v>207</v>
      </c>
      <c r="D174" t="s">
        <v>314</v>
      </c>
      <c r="E174" t="s">
        <v>173</v>
      </c>
    </row>
    <row r="175" spans="1:5" x14ac:dyDescent="0.35">
      <c r="A175" t="s">
        <v>139</v>
      </c>
      <c r="B175" t="s">
        <v>343</v>
      </c>
      <c r="C175" t="s">
        <v>207</v>
      </c>
      <c r="D175" t="s">
        <v>314</v>
      </c>
      <c r="E175" t="s">
        <v>173</v>
      </c>
    </row>
    <row r="176" spans="1:5" x14ac:dyDescent="0.35">
      <c r="A176" t="s">
        <v>139</v>
      </c>
      <c r="B176" t="s">
        <v>344</v>
      </c>
      <c r="C176" t="s">
        <v>145</v>
      </c>
      <c r="D176" t="s">
        <v>314</v>
      </c>
      <c r="E176" t="s">
        <v>173</v>
      </c>
    </row>
    <row r="177" spans="1:5" x14ac:dyDescent="0.35">
      <c r="A177" t="s">
        <v>139</v>
      </c>
      <c r="B177" t="s">
        <v>345</v>
      </c>
      <c r="C177" t="s">
        <v>141</v>
      </c>
      <c r="D177" t="s">
        <v>314</v>
      </c>
      <c r="E177" t="s">
        <v>173</v>
      </c>
    </row>
    <row r="178" spans="1:5" x14ac:dyDescent="0.35">
      <c r="A178" t="s">
        <v>139</v>
      </c>
      <c r="B178" t="s">
        <v>346</v>
      </c>
      <c r="C178" t="s">
        <v>207</v>
      </c>
      <c r="D178" t="s">
        <v>314</v>
      </c>
      <c r="E178" t="s">
        <v>183</v>
      </c>
    </row>
    <row r="179" spans="1:5" x14ac:dyDescent="0.35">
      <c r="A179" t="s">
        <v>139</v>
      </c>
      <c r="B179" t="s">
        <v>347</v>
      </c>
      <c r="C179" t="s">
        <v>145</v>
      </c>
      <c r="D179" t="s">
        <v>314</v>
      </c>
      <c r="E179" t="s">
        <v>183</v>
      </c>
    </row>
    <row r="180" spans="1:5" x14ac:dyDescent="0.35">
      <c r="A180" t="s">
        <v>139</v>
      </c>
      <c r="B180" t="s">
        <v>348</v>
      </c>
      <c r="C180" t="s">
        <v>207</v>
      </c>
      <c r="D180" t="s">
        <v>314</v>
      </c>
      <c r="E180" t="s">
        <v>183</v>
      </c>
    </row>
    <row r="181" spans="1:5" x14ac:dyDescent="0.35">
      <c r="A181" t="s">
        <v>139</v>
      </c>
      <c r="B181" t="s">
        <v>349</v>
      </c>
      <c r="C181" t="s">
        <v>207</v>
      </c>
      <c r="D181" t="s">
        <v>314</v>
      </c>
      <c r="E181" t="s">
        <v>191</v>
      </c>
    </row>
    <row r="182" spans="1:5" x14ac:dyDescent="0.35">
      <c r="A182" t="s">
        <v>139</v>
      </c>
      <c r="B182" t="s">
        <v>350</v>
      </c>
      <c r="C182" t="s">
        <v>351</v>
      </c>
      <c r="D182" t="s">
        <v>314</v>
      </c>
      <c r="E182" t="s">
        <v>156</v>
      </c>
    </row>
    <row r="183" spans="1:5" x14ac:dyDescent="0.35">
      <c r="A183" t="s">
        <v>352</v>
      </c>
      <c r="B183" t="s">
        <v>353</v>
      </c>
      <c r="C183" t="s">
        <v>145</v>
      </c>
      <c r="D183" t="s">
        <v>354</v>
      </c>
      <c r="E183" t="s">
        <v>153</v>
      </c>
    </row>
    <row r="184" spans="1:5" x14ac:dyDescent="0.35">
      <c r="A184" t="s">
        <v>352</v>
      </c>
      <c r="B184" t="s">
        <v>355</v>
      </c>
      <c r="C184" t="s">
        <v>145</v>
      </c>
      <c r="D184" t="s">
        <v>354</v>
      </c>
      <c r="E184" t="s">
        <v>356</v>
      </c>
    </row>
    <row r="185" spans="1:5" x14ac:dyDescent="0.35">
      <c r="A185" t="s">
        <v>352</v>
      </c>
      <c r="B185" t="s">
        <v>357</v>
      </c>
      <c r="C185" t="s">
        <v>145</v>
      </c>
      <c r="D185" t="s">
        <v>354</v>
      </c>
      <c r="E185" t="s">
        <v>170</v>
      </c>
    </row>
    <row r="186" spans="1:5" x14ac:dyDescent="0.35">
      <c r="A186" t="s">
        <v>352</v>
      </c>
      <c r="B186" t="s">
        <v>358</v>
      </c>
      <c r="C186" t="s">
        <v>145</v>
      </c>
      <c r="D186" t="s">
        <v>354</v>
      </c>
      <c r="E186" t="s">
        <v>170</v>
      </c>
    </row>
    <row r="187" spans="1:5" x14ac:dyDescent="0.35">
      <c r="A187" t="s">
        <v>352</v>
      </c>
      <c r="B187" t="s">
        <v>359</v>
      </c>
      <c r="C187" t="s">
        <v>145</v>
      </c>
      <c r="D187" t="s">
        <v>354</v>
      </c>
      <c r="E187" t="s">
        <v>191</v>
      </c>
    </row>
    <row r="188" spans="1:5" x14ac:dyDescent="0.35">
      <c r="A188" t="s">
        <v>352</v>
      </c>
      <c r="B188" t="s">
        <v>360</v>
      </c>
      <c r="C188" t="s">
        <v>141</v>
      </c>
      <c r="D188" t="s">
        <v>361</v>
      </c>
      <c r="E188" t="s">
        <v>143</v>
      </c>
    </row>
    <row r="189" spans="1:5" x14ac:dyDescent="0.35">
      <c r="A189" t="s">
        <v>352</v>
      </c>
      <c r="B189" t="s">
        <v>362</v>
      </c>
      <c r="C189" t="s">
        <v>145</v>
      </c>
      <c r="D189" t="s">
        <v>361</v>
      </c>
      <c r="E189" t="s">
        <v>162</v>
      </c>
    </row>
    <row r="190" spans="1:5" x14ac:dyDescent="0.35">
      <c r="A190" t="s">
        <v>352</v>
      </c>
      <c r="B190" t="s">
        <v>363</v>
      </c>
      <c r="C190" t="s">
        <v>141</v>
      </c>
      <c r="D190" t="s">
        <v>361</v>
      </c>
      <c r="E190" t="s">
        <v>170</v>
      </c>
    </row>
    <row r="191" spans="1:5" x14ac:dyDescent="0.35">
      <c r="A191" t="s">
        <v>352</v>
      </c>
      <c r="B191" t="s">
        <v>364</v>
      </c>
      <c r="C191" t="s">
        <v>141</v>
      </c>
      <c r="D191" t="s">
        <v>361</v>
      </c>
      <c r="E191" t="s">
        <v>183</v>
      </c>
    </row>
    <row r="192" spans="1:5" x14ac:dyDescent="0.35">
      <c r="A192" t="s">
        <v>352</v>
      </c>
      <c r="B192" t="s">
        <v>365</v>
      </c>
      <c r="C192" t="s">
        <v>145</v>
      </c>
      <c r="D192" t="s">
        <v>361</v>
      </c>
      <c r="E192" t="s">
        <v>301</v>
      </c>
    </row>
    <row r="193" spans="1:5" x14ac:dyDescent="0.35">
      <c r="A193" t="s">
        <v>352</v>
      </c>
      <c r="B193" t="s">
        <v>366</v>
      </c>
      <c r="C193" t="s">
        <v>145</v>
      </c>
      <c r="D193" t="s">
        <v>361</v>
      </c>
      <c r="E193" t="s">
        <v>301</v>
      </c>
    </row>
    <row r="194" spans="1:5" x14ac:dyDescent="0.35">
      <c r="A194" t="s">
        <v>352</v>
      </c>
      <c r="B194" t="s">
        <v>367</v>
      </c>
      <c r="C194" t="s">
        <v>145</v>
      </c>
      <c r="D194" t="s">
        <v>361</v>
      </c>
      <c r="E194" t="s">
        <v>196</v>
      </c>
    </row>
    <row r="195" spans="1:5" x14ac:dyDescent="0.35">
      <c r="A195" t="s">
        <v>352</v>
      </c>
      <c r="B195" t="s">
        <v>368</v>
      </c>
      <c r="C195" t="s">
        <v>145</v>
      </c>
      <c r="D195" t="s">
        <v>369</v>
      </c>
      <c r="E195" t="s">
        <v>214</v>
      </c>
    </row>
    <row r="196" spans="1:5" x14ac:dyDescent="0.35">
      <c r="A196" t="s">
        <v>352</v>
      </c>
      <c r="B196" t="s">
        <v>370</v>
      </c>
      <c r="C196" t="s">
        <v>207</v>
      </c>
      <c r="D196" t="s">
        <v>369</v>
      </c>
      <c r="E196" t="s">
        <v>214</v>
      </c>
    </row>
    <row r="197" spans="1:5" x14ac:dyDescent="0.35">
      <c r="A197" t="s">
        <v>352</v>
      </c>
      <c r="B197" t="s">
        <v>371</v>
      </c>
      <c r="C197" t="s">
        <v>207</v>
      </c>
      <c r="D197" t="s">
        <v>369</v>
      </c>
      <c r="E197" t="s">
        <v>214</v>
      </c>
    </row>
    <row r="198" spans="1:5" x14ac:dyDescent="0.35">
      <c r="A198" t="s">
        <v>352</v>
      </c>
      <c r="B198" t="s">
        <v>372</v>
      </c>
      <c r="C198" t="s">
        <v>207</v>
      </c>
      <c r="D198" t="s">
        <v>369</v>
      </c>
      <c r="E198" t="s">
        <v>143</v>
      </c>
    </row>
    <row r="199" spans="1:5" x14ac:dyDescent="0.35">
      <c r="A199" t="s">
        <v>352</v>
      </c>
      <c r="B199" t="s">
        <v>373</v>
      </c>
      <c r="C199" t="s">
        <v>207</v>
      </c>
      <c r="D199" t="s">
        <v>369</v>
      </c>
      <c r="E199" t="s">
        <v>143</v>
      </c>
    </row>
    <row r="200" spans="1:5" x14ac:dyDescent="0.35">
      <c r="A200" t="s">
        <v>352</v>
      </c>
      <c r="B200" t="s">
        <v>374</v>
      </c>
      <c r="C200" t="s">
        <v>145</v>
      </c>
      <c r="D200" t="s">
        <v>369</v>
      </c>
      <c r="E200" t="s">
        <v>143</v>
      </c>
    </row>
    <row r="201" spans="1:5" x14ac:dyDescent="0.35">
      <c r="A201" t="s">
        <v>352</v>
      </c>
      <c r="B201" t="s">
        <v>375</v>
      </c>
      <c r="C201" t="s">
        <v>207</v>
      </c>
      <c r="D201" t="s">
        <v>369</v>
      </c>
      <c r="E201" t="s">
        <v>149</v>
      </c>
    </row>
    <row r="202" spans="1:5" x14ac:dyDescent="0.35">
      <c r="A202" t="s">
        <v>352</v>
      </c>
      <c r="B202" t="s">
        <v>376</v>
      </c>
      <c r="C202" t="s">
        <v>207</v>
      </c>
      <c r="D202" t="s">
        <v>369</v>
      </c>
      <c r="E202" t="s">
        <v>149</v>
      </c>
    </row>
    <row r="203" spans="1:5" x14ac:dyDescent="0.35">
      <c r="A203" t="s">
        <v>352</v>
      </c>
      <c r="B203" t="s">
        <v>377</v>
      </c>
      <c r="C203" t="s">
        <v>145</v>
      </c>
      <c r="D203" t="s">
        <v>369</v>
      </c>
      <c r="E203" t="s">
        <v>149</v>
      </c>
    </row>
    <row r="204" spans="1:5" x14ac:dyDescent="0.35">
      <c r="A204" t="s">
        <v>352</v>
      </c>
      <c r="B204" t="s">
        <v>378</v>
      </c>
      <c r="C204" t="s">
        <v>145</v>
      </c>
      <c r="D204" t="s">
        <v>369</v>
      </c>
      <c r="E204" t="s">
        <v>153</v>
      </c>
    </row>
    <row r="205" spans="1:5" x14ac:dyDescent="0.35">
      <c r="A205" t="s">
        <v>352</v>
      </c>
      <c r="B205" t="s">
        <v>379</v>
      </c>
      <c r="C205" t="s">
        <v>145</v>
      </c>
      <c r="D205" t="s">
        <v>369</v>
      </c>
      <c r="E205" t="s">
        <v>153</v>
      </c>
    </row>
    <row r="206" spans="1:5" x14ac:dyDescent="0.35">
      <c r="A206" t="s">
        <v>352</v>
      </c>
      <c r="B206" t="s">
        <v>380</v>
      </c>
      <c r="C206" t="s">
        <v>141</v>
      </c>
      <c r="D206" t="s">
        <v>369</v>
      </c>
      <c r="E206" t="s">
        <v>153</v>
      </c>
    </row>
    <row r="207" spans="1:5" x14ac:dyDescent="0.35">
      <c r="A207" t="s">
        <v>352</v>
      </c>
      <c r="B207" t="s">
        <v>381</v>
      </c>
      <c r="C207" t="s">
        <v>207</v>
      </c>
      <c r="D207" t="s">
        <v>369</v>
      </c>
      <c r="E207" t="s">
        <v>153</v>
      </c>
    </row>
    <row r="208" spans="1:5" x14ac:dyDescent="0.35">
      <c r="A208" t="s">
        <v>352</v>
      </c>
      <c r="B208" t="s">
        <v>382</v>
      </c>
      <c r="C208" t="s">
        <v>145</v>
      </c>
      <c r="D208" t="s">
        <v>369</v>
      </c>
      <c r="E208" t="s">
        <v>156</v>
      </c>
    </row>
    <row r="209" spans="1:5" x14ac:dyDescent="0.35">
      <c r="A209" t="s">
        <v>352</v>
      </c>
      <c r="B209" t="s">
        <v>383</v>
      </c>
      <c r="C209" t="s">
        <v>207</v>
      </c>
      <c r="D209" t="s">
        <v>369</v>
      </c>
      <c r="E209" t="s">
        <v>156</v>
      </c>
    </row>
    <row r="210" spans="1:5" x14ac:dyDescent="0.35">
      <c r="A210" t="s">
        <v>352</v>
      </c>
      <c r="B210" t="s">
        <v>384</v>
      </c>
      <c r="C210" t="s">
        <v>207</v>
      </c>
      <c r="D210" t="s">
        <v>369</v>
      </c>
      <c r="E210" t="s">
        <v>156</v>
      </c>
    </row>
    <row r="211" spans="1:5" x14ac:dyDescent="0.35">
      <c r="A211" t="s">
        <v>352</v>
      </c>
      <c r="B211" t="s">
        <v>385</v>
      </c>
      <c r="C211" t="s">
        <v>207</v>
      </c>
      <c r="D211" t="s">
        <v>369</v>
      </c>
      <c r="E211" t="s">
        <v>162</v>
      </c>
    </row>
    <row r="212" spans="1:5" x14ac:dyDescent="0.35">
      <c r="A212" t="s">
        <v>352</v>
      </c>
      <c r="B212" t="s">
        <v>386</v>
      </c>
      <c r="C212" t="s">
        <v>145</v>
      </c>
      <c r="D212" t="s">
        <v>369</v>
      </c>
      <c r="E212" t="s">
        <v>162</v>
      </c>
    </row>
    <row r="213" spans="1:5" x14ac:dyDescent="0.35">
      <c r="A213" t="s">
        <v>352</v>
      </c>
      <c r="B213" t="s">
        <v>387</v>
      </c>
      <c r="C213" t="s">
        <v>207</v>
      </c>
      <c r="D213" t="s">
        <v>369</v>
      </c>
      <c r="E213" t="s">
        <v>162</v>
      </c>
    </row>
    <row r="214" spans="1:5" x14ac:dyDescent="0.35">
      <c r="A214" t="s">
        <v>352</v>
      </c>
      <c r="B214" t="s">
        <v>388</v>
      </c>
      <c r="C214" t="s">
        <v>207</v>
      </c>
      <c r="D214" t="s">
        <v>369</v>
      </c>
      <c r="E214" t="s">
        <v>162</v>
      </c>
    </row>
    <row r="215" spans="1:5" x14ac:dyDescent="0.35">
      <c r="A215" t="s">
        <v>352</v>
      </c>
      <c r="B215" t="s">
        <v>389</v>
      </c>
      <c r="C215" t="s">
        <v>145</v>
      </c>
      <c r="D215" t="s">
        <v>369</v>
      </c>
      <c r="E215" t="s">
        <v>162</v>
      </c>
    </row>
    <row r="216" spans="1:5" x14ac:dyDescent="0.35">
      <c r="A216" t="s">
        <v>352</v>
      </c>
      <c r="B216" t="s">
        <v>390</v>
      </c>
      <c r="C216" t="s">
        <v>145</v>
      </c>
      <c r="D216" t="s">
        <v>369</v>
      </c>
      <c r="E216" t="s">
        <v>162</v>
      </c>
    </row>
    <row r="217" spans="1:5" x14ac:dyDescent="0.35">
      <c r="A217" t="s">
        <v>352</v>
      </c>
      <c r="B217" t="s">
        <v>391</v>
      </c>
      <c r="C217" t="s">
        <v>145</v>
      </c>
      <c r="D217" t="s">
        <v>369</v>
      </c>
      <c r="E217" t="s">
        <v>162</v>
      </c>
    </row>
    <row r="218" spans="1:5" x14ac:dyDescent="0.35">
      <c r="A218" t="s">
        <v>352</v>
      </c>
      <c r="B218" t="s">
        <v>392</v>
      </c>
      <c r="C218" t="s">
        <v>145</v>
      </c>
      <c r="D218" t="s">
        <v>369</v>
      </c>
      <c r="E218" t="s">
        <v>165</v>
      </c>
    </row>
    <row r="219" spans="1:5" x14ac:dyDescent="0.35">
      <c r="A219" t="s">
        <v>352</v>
      </c>
      <c r="B219" t="s">
        <v>393</v>
      </c>
      <c r="C219" t="s">
        <v>145</v>
      </c>
      <c r="D219" t="s">
        <v>369</v>
      </c>
      <c r="E219" t="s">
        <v>165</v>
      </c>
    </row>
    <row r="220" spans="1:5" x14ac:dyDescent="0.35">
      <c r="A220" t="s">
        <v>352</v>
      </c>
      <c r="B220" t="s">
        <v>394</v>
      </c>
      <c r="C220" t="s">
        <v>239</v>
      </c>
      <c r="D220" t="s">
        <v>369</v>
      </c>
      <c r="E220" t="s">
        <v>165</v>
      </c>
    </row>
    <row r="221" spans="1:5" x14ac:dyDescent="0.35">
      <c r="A221" t="s">
        <v>352</v>
      </c>
      <c r="B221" t="s">
        <v>395</v>
      </c>
      <c r="C221" t="s">
        <v>239</v>
      </c>
      <c r="D221" t="s">
        <v>369</v>
      </c>
      <c r="E221" t="s">
        <v>165</v>
      </c>
    </row>
    <row r="222" spans="1:5" x14ac:dyDescent="0.35">
      <c r="A222" t="s">
        <v>352</v>
      </c>
      <c r="B222" t="s">
        <v>396</v>
      </c>
      <c r="C222" t="s">
        <v>239</v>
      </c>
      <c r="D222" t="s">
        <v>369</v>
      </c>
      <c r="E222" t="s">
        <v>165</v>
      </c>
    </row>
    <row r="223" spans="1:5" x14ac:dyDescent="0.35">
      <c r="A223" t="s">
        <v>352</v>
      </c>
      <c r="B223" t="s">
        <v>397</v>
      </c>
      <c r="C223" t="s">
        <v>239</v>
      </c>
      <c r="D223" t="s">
        <v>369</v>
      </c>
      <c r="E223" t="s">
        <v>165</v>
      </c>
    </row>
    <row r="224" spans="1:5" x14ac:dyDescent="0.35">
      <c r="A224" t="s">
        <v>352</v>
      </c>
      <c r="B224" t="s">
        <v>398</v>
      </c>
      <c r="C224" t="s">
        <v>239</v>
      </c>
      <c r="D224" t="s">
        <v>369</v>
      </c>
      <c r="E224" t="s">
        <v>165</v>
      </c>
    </row>
    <row r="225" spans="1:5" x14ac:dyDescent="0.35">
      <c r="A225" t="s">
        <v>352</v>
      </c>
      <c r="B225" t="s">
        <v>399</v>
      </c>
      <c r="C225" t="s">
        <v>239</v>
      </c>
      <c r="D225" t="s">
        <v>369</v>
      </c>
      <c r="E225" t="s">
        <v>165</v>
      </c>
    </row>
    <row r="226" spans="1:5" x14ac:dyDescent="0.35">
      <c r="A226" t="s">
        <v>352</v>
      </c>
      <c r="B226" t="s">
        <v>400</v>
      </c>
      <c r="C226" t="s">
        <v>239</v>
      </c>
      <c r="D226" t="s">
        <v>369</v>
      </c>
      <c r="E226" t="s">
        <v>165</v>
      </c>
    </row>
    <row r="227" spans="1:5" x14ac:dyDescent="0.35">
      <c r="A227" t="s">
        <v>352</v>
      </c>
      <c r="B227" t="s">
        <v>401</v>
      </c>
      <c r="C227" t="s">
        <v>239</v>
      </c>
      <c r="D227" t="s">
        <v>369</v>
      </c>
      <c r="E227" t="s">
        <v>165</v>
      </c>
    </row>
    <row r="228" spans="1:5" x14ac:dyDescent="0.35">
      <c r="A228" t="s">
        <v>352</v>
      </c>
      <c r="B228" t="s">
        <v>402</v>
      </c>
      <c r="C228" t="s">
        <v>239</v>
      </c>
      <c r="D228" t="s">
        <v>369</v>
      </c>
      <c r="E228" t="s">
        <v>165</v>
      </c>
    </row>
    <row r="229" spans="1:5" x14ac:dyDescent="0.35">
      <c r="A229" t="s">
        <v>352</v>
      </c>
      <c r="B229" t="s">
        <v>403</v>
      </c>
      <c r="C229" t="s">
        <v>239</v>
      </c>
      <c r="D229" t="s">
        <v>369</v>
      </c>
      <c r="E229" t="s">
        <v>165</v>
      </c>
    </row>
    <row r="230" spans="1:5" x14ac:dyDescent="0.35">
      <c r="A230" t="s">
        <v>352</v>
      </c>
      <c r="B230" t="s">
        <v>404</v>
      </c>
      <c r="C230" t="s">
        <v>207</v>
      </c>
      <c r="D230" t="s">
        <v>369</v>
      </c>
      <c r="E230" t="s">
        <v>165</v>
      </c>
    </row>
    <row r="231" spans="1:5" x14ac:dyDescent="0.35">
      <c r="A231" t="s">
        <v>352</v>
      </c>
      <c r="B231" t="s">
        <v>405</v>
      </c>
      <c r="C231" t="s">
        <v>212</v>
      </c>
      <c r="D231" t="s">
        <v>369</v>
      </c>
      <c r="E231" t="s">
        <v>356</v>
      </c>
    </row>
    <row r="232" spans="1:5" x14ac:dyDescent="0.35">
      <c r="A232" t="s">
        <v>352</v>
      </c>
      <c r="B232" t="s">
        <v>406</v>
      </c>
      <c r="C232" t="s">
        <v>207</v>
      </c>
      <c r="D232" t="s">
        <v>369</v>
      </c>
      <c r="E232" t="s">
        <v>356</v>
      </c>
    </row>
    <row r="233" spans="1:5" x14ac:dyDescent="0.35">
      <c r="A233" t="s">
        <v>352</v>
      </c>
      <c r="B233" t="s">
        <v>407</v>
      </c>
      <c r="C233" t="s">
        <v>207</v>
      </c>
      <c r="D233" t="s">
        <v>369</v>
      </c>
      <c r="E233" t="s">
        <v>356</v>
      </c>
    </row>
    <row r="234" spans="1:5" x14ac:dyDescent="0.35">
      <c r="A234" t="s">
        <v>352</v>
      </c>
      <c r="B234" t="s">
        <v>408</v>
      </c>
      <c r="C234" t="s">
        <v>145</v>
      </c>
      <c r="D234" t="s">
        <v>369</v>
      </c>
      <c r="E234" t="s">
        <v>356</v>
      </c>
    </row>
    <row r="235" spans="1:5" x14ac:dyDescent="0.35">
      <c r="A235" t="s">
        <v>352</v>
      </c>
      <c r="B235" t="s">
        <v>409</v>
      </c>
      <c r="C235" t="s">
        <v>217</v>
      </c>
      <c r="D235" t="s">
        <v>369</v>
      </c>
      <c r="E235" t="s">
        <v>167</v>
      </c>
    </row>
    <row r="236" spans="1:5" x14ac:dyDescent="0.35">
      <c r="A236" t="s">
        <v>352</v>
      </c>
      <c r="B236" t="s">
        <v>410</v>
      </c>
      <c r="C236" t="s">
        <v>145</v>
      </c>
      <c r="D236" t="s">
        <v>369</v>
      </c>
      <c r="E236" t="s">
        <v>167</v>
      </c>
    </row>
    <row r="237" spans="1:5" x14ac:dyDescent="0.35">
      <c r="A237" t="s">
        <v>352</v>
      </c>
      <c r="B237" t="s">
        <v>411</v>
      </c>
      <c r="C237" t="s">
        <v>207</v>
      </c>
      <c r="D237" t="s">
        <v>369</v>
      </c>
      <c r="E237" t="s">
        <v>167</v>
      </c>
    </row>
    <row r="238" spans="1:5" x14ac:dyDescent="0.35">
      <c r="A238" t="s">
        <v>352</v>
      </c>
      <c r="B238" t="s">
        <v>412</v>
      </c>
      <c r="C238" t="s">
        <v>145</v>
      </c>
      <c r="D238" t="s">
        <v>369</v>
      </c>
      <c r="E238" t="s">
        <v>167</v>
      </c>
    </row>
    <row r="239" spans="1:5" x14ac:dyDescent="0.35">
      <c r="A239" t="s">
        <v>352</v>
      </c>
      <c r="B239" t="s">
        <v>413</v>
      </c>
      <c r="C239" t="s">
        <v>145</v>
      </c>
      <c r="D239" t="s">
        <v>369</v>
      </c>
      <c r="E239" t="s">
        <v>167</v>
      </c>
    </row>
    <row r="240" spans="1:5" x14ac:dyDescent="0.35">
      <c r="A240" t="s">
        <v>352</v>
      </c>
      <c r="B240" t="s">
        <v>414</v>
      </c>
      <c r="C240" t="s">
        <v>207</v>
      </c>
      <c r="D240" t="s">
        <v>369</v>
      </c>
      <c r="E240" t="s">
        <v>170</v>
      </c>
    </row>
    <row r="241" spans="1:5" x14ac:dyDescent="0.35">
      <c r="A241" t="s">
        <v>352</v>
      </c>
      <c r="B241" t="s">
        <v>415</v>
      </c>
      <c r="C241" t="s">
        <v>145</v>
      </c>
      <c r="D241" t="s">
        <v>369</v>
      </c>
      <c r="E241" t="s">
        <v>170</v>
      </c>
    </row>
    <row r="242" spans="1:5" x14ac:dyDescent="0.35">
      <c r="A242" t="s">
        <v>352</v>
      </c>
      <c r="B242" t="s">
        <v>416</v>
      </c>
      <c r="C242" t="s">
        <v>217</v>
      </c>
      <c r="D242" t="s">
        <v>369</v>
      </c>
      <c r="E242" t="s">
        <v>170</v>
      </c>
    </row>
    <row r="243" spans="1:5" x14ac:dyDescent="0.35">
      <c r="A243" t="s">
        <v>352</v>
      </c>
      <c r="B243" t="s">
        <v>417</v>
      </c>
      <c r="C243" t="s">
        <v>207</v>
      </c>
      <c r="D243" t="s">
        <v>369</v>
      </c>
      <c r="E243" t="s">
        <v>173</v>
      </c>
    </row>
    <row r="244" spans="1:5" x14ac:dyDescent="0.35">
      <c r="A244" t="s">
        <v>352</v>
      </c>
      <c r="B244" t="s">
        <v>418</v>
      </c>
      <c r="C244" t="s">
        <v>207</v>
      </c>
      <c r="D244" t="s">
        <v>369</v>
      </c>
      <c r="E244" t="s">
        <v>173</v>
      </c>
    </row>
    <row r="245" spans="1:5" x14ac:dyDescent="0.35">
      <c r="A245" t="s">
        <v>352</v>
      </c>
      <c r="B245" t="s">
        <v>419</v>
      </c>
      <c r="C245" t="s">
        <v>145</v>
      </c>
      <c r="D245" t="s">
        <v>369</v>
      </c>
      <c r="E245" t="s">
        <v>178</v>
      </c>
    </row>
    <row r="246" spans="1:5" x14ac:dyDescent="0.35">
      <c r="A246" t="s">
        <v>352</v>
      </c>
      <c r="B246" t="s">
        <v>420</v>
      </c>
      <c r="C246" t="s">
        <v>145</v>
      </c>
      <c r="D246" t="s">
        <v>369</v>
      </c>
      <c r="E246" t="s">
        <v>178</v>
      </c>
    </row>
    <row r="247" spans="1:5" x14ac:dyDescent="0.35">
      <c r="A247" t="s">
        <v>352</v>
      </c>
      <c r="B247" t="s">
        <v>421</v>
      </c>
      <c r="C247" t="s">
        <v>145</v>
      </c>
      <c r="D247" t="s">
        <v>369</v>
      </c>
      <c r="E247" t="s">
        <v>178</v>
      </c>
    </row>
    <row r="248" spans="1:5" x14ac:dyDescent="0.35">
      <c r="A248" t="s">
        <v>352</v>
      </c>
      <c r="B248" t="s">
        <v>422</v>
      </c>
      <c r="C248" t="s">
        <v>207</v>
      </c>
      <c r="D248" t="s">
        <v>369</v>
      </c>
      <c r="E248" t="s">
        <v>178</v>
      </c>
    </row>
    <row r="249" spans="1:5" x14ac:dyDescent="0.35">
      <c r="A249" t="s">
        <v>352</v>
      </c>
      <c r="B249" t="s">
        <v>423</v>
      </c>
      <c r="C249" t="s">
        <v>207</v>
      </c>
      <c r="D249" t="s">
        <v>369</v>
      </c>
      <c r="E249" t="s">
        <v>178</v>
      </c>
    </row>
    <row r="250" spans="1:5" x14ac:dyDescent="0.35">
      <c r="A250" t="s">
        <v>352</v>
      </c>
      <c r="B250" t="s">
        <v>424</v>
      </c>
      <c r="C250" t="s">
        <v>145</v>
      </c>
      <c r="D250" t="s">
        <v>369</v>
      </c>
      <c r="E250" t="s">
        <v>178</v>
      </c>
    </row>
    <row r="251" spans="1:5" x14ac:dyDescent="0.35">
      <c r="A251" t="s">
        <v>352</v>
      </c>
      <c r="B251" t="s">
        <v>425</v>
      </c>
      <c r="C251" t="s">
        <v>145</v>
      </c>
      <c r="D251" t="s">
        <v>369</v>
      </c>
      <c r="E251" t="s">
        <v>183</v>
      </c>
    </row>
    <row r="252" spans="1:5" x14ac:dyDescent="0.35">
      <c r="A252" t="s">
        <v>352</v>
      </c>
      <c r="B252" t="s">
        <v>426</v>
      </c>
      <c r="C252" t="s">
        <v>207</v>
      </c>
      <c r="D252" t="s">
        <v>369</v>
      </c>
      <c r="E252" t="s">
        <v>183</v>
      </c>
    </row>
    <row r="253" spans="1:5" x14ac:dyDescent="0.35">
      <c r="A253" t="s">
        <v>352</v>
      </c>
      <c r="B253" t="s">
        <v>427</v>
      </c>
      <c r="C253" t="s">
        <v>207</v>
      </c>
      <c r="D253" t="s">
        <v>369</v>
      </c>
      <c r="E253" t="s">
        <v>183</v>
      </c>
    </row>
    <row r="254" spans="1:5" x14ac:dyDescent="0.35">
      <c r="A254" t="s">
        <v>352</v>
      </c>
      <c r="B254" t="s">
        <v>428</v>
      </c>
      <c r="C254" t="s">
        <v>207</v>
      </c>
      <c r="D254" t="s">
        <v>369</v>
      </c>
      <c r="E254" t="s">
        <v>183</v>
      </c>
    </row>
    <row r="255" spans="1:5" x14ac:dyDescent="0.35">
      <c r="A255" t="s">
        <v>352</v>
      </c>
      <c r="B255" t="s">
        <v>429</v>
      </c>
      <c r="C255" t="s">
        <v>207</v>
      </c>
      <c r="D255" t="s">
        <v>369</v>
      </c>
      <c r="E255" t="s">
        <v>183</v>
      </c>
    </row>
    <row r="256" spans="1:5" x14ac:dyDescent="0.35">
      <c r="A256" t="s">
        <v>352</v>
      </c>
      <c r="B256" t="s">
        <v>430</v>
      </c>
      <c r="C256" t="s">
        <v>207</v>
      </c>
      <c r="D256" t="s">
        <v>369</v>
      </c>
      <c r="E256" t="s">
        <v>183</v>
      </c>
    </row>
    <row r="257" spans="1:5" x14ac:dyDescent="0.35">
      <c r="A257" t="s">
        <v>352</v>
      </c>
      <c r="B257" t="s">
        <v>431</v>
      </c>
      <c r="C257" t="s">
        <v>207</v>
      </c>
      <c r="D257" t="s">
        <v>369</v>
      </c>
      <c r="E257" t="s">
        <v>301</v>
      </c>
    </row>
    <row r="258" spans="1:5" x14ac:dyDescent="0.35">
      <c r="A258" t="s">
        <v>352</v>
      </c>
      <c r="B258" t="s">
        <v>432</v>
      </c>
      <c r="C258" t="s">
        <v>207</v>
      </c>
      <c r="D258" t="s">
        <v>369</v>
      </c>
      <c r="E258" t="s">
        <v>301</v>
      </c>
    </row>
    <row r="259" spans="1:5" x14ac:dyDescent="0.35">
      <c r="A259" t="s">
        <v>352</v>
      </c>
      <c r="B259" t="s">
        <v>433</v>
      </c>
      <c r="C259" t="s">
        <v>207</v>
      </c>
      <c r="D259" t="s">
        <v>369</v>
      </c>
      <c r="E259" t="s">
        <v>191</v>
      </c>
    </row>
    <row r="260" spans="1:5" x14ac:dyDescent="0.35">
      <c r="A260" t="s">
        <v>352</v>
      </c>
      <c r="B260" t="s">
        <v>434</v>
      </c>
      <c r="C260" t="s">
        <v>207</v>
      </c>
      <c r="D260" t="s">
        <v>369</v>
      </c>
      <c r="E260" t="s">
        <v>191</v>
      </c>
    </row>
    <row r="261" spans="1:5" x14ac:dyDescent="0.35">
      <c r="A261" t="s">
        <v>352</v>
      </c>
      <c r="B261" t="s">
        <v>435</v>
      </c>
      <c r="C261" t="s">
        <v>145</v>
      </c>
      <c r="D261" t="s">
        <v>369</v>
      </c>
      <c r="E261" t="s">
        <v>191</v>
      </c>
    </row>
    <row r="262" spans="1:5" x14ac:dyDescent="0.35">
      <c r="A262" t="s">
        <v>352</v>
      </c>
      <c r="B262" t="s">
        <v>436</v>
      </c>
      <c r="C262" t="s">
        <v>145</v>
      </c>
      <c r="D262" t="s">
        <v>369</v>
      </c>
      <c r="E262" t="s">
        <v>191</v>
      </c>
    </row>
    <row r="263" spans="1:5" x14ac:dyDescent="0.35">
      <c r="A263" t="s">
        <v>352</v>
      </c>
      <c r="B263" t="s">
        <v>437</v>
      </c>
      <c r="C263" t="s">
        <v>145</v>
      </c>
      <c r="D263" t="s">
        <v>369</v>
      </c>
      <c r="E263" t="s">
        <v>191</v>
      </c>
    </row>
    <row r="264" spans="1:5" x14ac:dyDescent="0.35">
      <c r="A264" t="s">
        <v>352</v>
      </c>
      <c r="B264" t="s">
        <v>438</v>
      </c>
      <c r="C264" t="s">
        <v>439</v>
      </c>
      <c r="D264" t="s">
        <v>369</v>
      </c>
      <c r="E264" t="s">
        <v>191</v>
      </c>
    </row>
    <row r="265" spans="1:5" x14ac:dyDescent="0.35">
      <c r="A265" t="s">
        <v>352</v>
      </c>
      <c r="B265" t="s">
        <v>440</v>
      </c>
      <c r="C265" t="s">
        <v>239</v>
      </c>
      <c r="D265" t="s">
        <v>369</v>
      </c>
      <c r="E265" t="s">
        <v>191</v>
      </c>
    </row>
    <row r="266" spans="1:5" x14ac:dyDescent="0.35">
      <c r="A266" t="s">
        <v>352</v>
      </c>
      <c r="B266" t="s">
        <v>441</v>
      </c>
      <c r="C266" t="s">
        <v>145</v>
      </c>
      <c r="D266" t="s">
        <v>369</v>
      </c>
      <c r="E266" t="s">
        <v>191</v>
      </c>
    </row>
    <row r="267" spans="1:5" x14ac:dyDescent="0.35">
      <c r="A267" t="s">
        <v>352</v>
      </c>
      <c r="B267" t="s">
        <v>442</v>
      </c>
      <c r="C267" t="s">
        <v>145</v>
      </c>
      <c r="D267" t="s">
        <v>369</v>
      </c>
      <c r="E267" t="s">
        <v>196</v>
      </c>
    </row>
    <row r="268" spans="1:5" x14ac:dyDescent="0.35">
      <c r="A268" t="s">
        <v>352</v>
      </c>
      <c r="B268" t="s">
        <v>443</v>
      </c>
      <c r="C268" t="s">
        <v>207</v>
      </c>
      <c r="D268" t="s">
        <v>369</v>
      </c>
      <c r="E268" t="s">
        <v>196</v>
      </c>
    </row>
    <row r="269" spans="1:5" x14ac:dyDescent="0.35">
      <c r="A269" t="s">
        <v>352</v>
      </c>
      <c r="B269" t="s">
        <v>444</v>
      </c>
      <c r="C269" t="s">
        <v>336</v>
      </c>
      <c r="D269" t="s">
        <v>369</v>
      </c>
      <c r="E269" t="s">
        <v>196</v>
      </c>
    </row>
    <row r="270" spans="1:5" x14ac:dyDescent="0.35">
      <c r="A270" t="s">
        <v>352</v>
      </c>
      <c r="B270" t="s">
        <v>445</v>
      </c>
      <c r="C270" t="s">
        <v>212</v>
      </c>
      <c r="D270" t="s">
        <v>369</v>
      </c>
      <c r="E270" t="s">
        <v>196</v>
      </c>
    </row>
    <row r="271" spans="1:5" x14ac:dyDescent="0.35">
      <c r="A271" t="s">
        <v>352</v>
      </c>
      <c r="B271" t="s">
        <v>446</v>
      </c>
      <c r="C271" t="s">
        <v>239</v>
      </c>
      <c r="D271" t="s">
        <v>447</v>
      </c>
      <c r="E271" t="s">
        <v>214</v>
      </c>
    </row>
    <row r="272" spans="1:5" x14ac:dyDescent="0.35">
      <c r="A272" t="s">
        <v>352</v>
      </c>
      <c r="B272" t="s">
        <v>448</v>
      </c>
      <c r="C272" t="s">
        <v>239</v>
      </c>
      <c r="D272" t="s">
        <v>447</v>
      </c>
      <c r="E272" t="s">
        <v>149</v>
      </c>
    </row>
    <row r="273" spans="1:5" x14ac:dyDescent="0.35">
      <c r="A273" t="s">
        <v>352</v>
      </c>
      <c r="B273" t="s">
        <v>449</v>
      </c>
      <c r="C273" t="s">
        <v>239</v>
      </c>
      <c r="D273" t="s">
        <v>447</v>
      </c>
      <c r="E273" t="s">
        <v>149</v>
      </c>
    </row>
    <row r="274" spans="1:5" x14ac:dyDescent="0.35">
      <c r="A274" t="s">
        <v>352</v>
      </c>
      <c r="B274" t="s">
        <v>450</v>
      </c>
      <c r="C274" t="s">
        <v>439</v>
      </c>
      <c r="D274" t="s">
        <v>447</v>
      </c>
      <c r="E274" t="s">
        <v>149</v>
      </c>
    </row>
    <row r="275" spans="1:5" x14ac:dyDescent="0.35">
      <c r="A275" t="s">
        <v>352</v>
      </c>
      <c r="B275" t="s">
        <v>451</v>
      </c>
      <c r="C275" t="s">
        <v>239</v>
      </c>
      <c r="D275" t="s">
        <v>447</v>
      </c>
      <c r="E275" t="s">
        <v>149</v>
      </c>
    </row>
    <row r="276" spans="1:5" x14ac:dyDescent="0.35">
      <c r="A276" t="s">
        <v>352</v>
      </c>
      <c r="B276" t="s">
        <v>452</v>
      </c>
      <c r="C276" t="s">
        <v>207</v>
      </c>
      <c r="D276" t="s">
        <v>447</v>
      </c>
      <c r="E276" t="s">
        <v>153</v>
      </c>
    </row>
    <row r="277" spans="1:5" x14ac:dyDescent="0.35">
      <c r="A277" t="s">
        <v>352</v>
      </c>
      <c r="B277" t="s">
        <v>453</v>
      </c>
      <c r="C277" t="s">
        <v>239</v>
      </c>
      <c r="D277" t="s">
        <v>447</v>
      </c>
      <c r="E277" t="s">
        <v>153</v>
      </c>
    </row>
    <row r="278" spans="1:5" x14ac:dyDescent="0.35">
      <c r="A278" t="s">
        <v>352</v>
      </c>
      <c r="B278" t="s">
        <v>454</v>
      </c>
      <c r="C278" t="s">
        <v>145</v>
      </c>
      <c r="D278" t="s">
        <v>447</v>
      </c>
      <c r="E278" t="s">
        <v>153</v>
      </c>
    </row>
    <row r="279" spans="1:5" x14ac:dyDescent="0.35">
      <c r="A279" t="s">
        <v>352</v>
      </c>
      <c r="B279" t="s">
        <v>455</v>
      </c>
      <c r="C279" t="s">
        <v>217</v>
      </c>
      <c r="D279" t="s">
        <v>447</v>
      </c>
      <c r="E279" t="s">
        <v>153</v>
      </c>
    </row>
    <row r="280" spans="1:5" x14ac:dyDescent="0.35">
      <c r="A280" t="s">
        <v>352</v>
      </c>
      <c r="B280" t="s">
        <v>456</v>
      </c>
      <c r="C280" t="s">
        <v>145</v>
      </c>
      <c r="D280" t="s">
        <v>447</v>
      </c>
      <c r="E280" t="s">
        <v>156</v>
      </c>
    </row>
    <row r="281" spans="1:5" x14ac:dyDescent="0.35">
      <c r="A281" t="s">
        <v>352</v>
      </c>
      <c r="B281" t="s">
        <v>457</v>
      </c>
      <c r="C281" t="s">
        <v>207</v>
      </c>
      <c r="D281" t="s">
        <v>447</v>
      </c>
      <c r="E281" t="s">
        <v>165</v>
      </c>
    </row>
    <row r="282" spans="1:5" x14ac:dyDescent="0.35">
      <c r="A282" t="s">
        <v>352</v>
      </c>
      <c r="B282" t="s">
        <v>458</v>
      </c>
      <c r="C282" t="s">
        <v>145</v>
      </c>
      <c r="D282" t="s">
        <v>447</v>
      </c>
      <c r="E282" t="s">
        <v>356</v>
      </c>
    </row>
    <row r="283" spans="1:5" x14ac:dyDescent="0.35">
      <c r="A283" t="s">
        <v>352</v>
      </c>
      <c r="B283" t="s">
        <v>459</v>
      </c>
      <c r="C283" t="s">
        <v>207</v>
      </c>
      <c r="D283" t="s">
        <v>447</v>
      </c>
      <c r="E283" t="s">
        <v>356</v>
      </c>
    </row>
    <row r="284" spans="1:5" x14ac:dyDescent="0.35">
      <c r="A284" t="s">
        <v>352</v>
      </c>
      <c r="B284" t="s">
        <v>460</v>
      </c>
      <c r="C284" t="s">
        <v>239</v>
      </c>
      <c r="D284" t="s">
        <v>447</v>
      </c>
      <c r="E284" t="s">
        <v>167</v>
      </c>
    </row>
    <row r="285" spans="1:5" x14ac:dyDescent="0.35">
      <c r="A285" t="s">
        <v>352</v>
      </c>
      <c r="B285" t="s">
        <v>461</v>
      </c>
      <c r="C285" t="s">
        <v>239</v>
      </c>
      <c r="D285" t="s">
        <v>447</v>
      </c>
      <c r="E285" t="s">
        <v>170</v>
      </c>
    </row>
    <row r="286" spans="1:5" x14ac:dyDescent="0.35">
      <c r="A286" t="s">
        <v>352</v>
      </c>
      <c r="B286" t="s">
        <v>462</v>
      </c>
      <c r="C286" t="s">
        <v>145</v>
      </c>
      <c r="D286" t="s">
        <v>447</v>
      </c>
      <c r="E286" t="s">
        <v>170</v>
      </c>
    </row>
    <row r="287" spans="1:5" x14ac:dyDescent="0.35">
      <c r="A287" t="s">
        <v>352</v>
      </c>
      <c r="B287" t="s">
        <v>463</v>
      </c>
      <c r="C287" t="s">
        <v>145</v>
      </c>
      <c r="D287" t="s">
        <v>447</v>
      </c>
      <c r="E287" t="s">
        <v>173</v>
      </c>
    </row>
    <row r="288" spans="1:5" x14ac:dyDescent="0.35">
      <c r="A288" t="s">
        <v>352</v>
      </c>
      <c r="B288" t="s">
        <v>464</v>
      </c>
      <c r="C288" t="s">
        <v>239</v>
      </c>
      <c r="D288" t="s">
        <v>447</v>
      </c>
      <c r="E288" t="s">
        <v>173</v>
      </c>
    </row>
    <row r="289" spans="1:5" x14ac:dyDescent="0.35">
      <c r="A289" t="s">
        <v>352</v>
      </c>
      <c r="B289" t="s">
        <v>465</v>
      </c>
      <c r="C289" t="s">
        <v>239</v>
      </c>
      <c r="D289" t="s">
        <v>447</v>
      </c>
      <c r="E289" t="s">
        <v>178</v>
      </c>
    </row>
    <row r="290" spans="1:5" x14ac:dyDescent="0.35">
      <c r="A290" t="s">
        <v>352</v>
      </c>
      <c r="B290" t="s">
        <v>466</v>
      </c>
      <c r="C290" t="s">
        <v>239</v>
      </c>
      <c r="D290" t="s">
        <v>447</v>
      </c>
      <c r="E290" t="s">
        <v>183</v>
      </c>
    </row>
    <row r="291" spans="1:5" x14ac:dyDescent="0.35">
      <c r="A291" t="s">
        <v>352</v>
      </c>
      <c r="B291" t="s">
        <v>467</v>
      </c>
      <c r="C291" t="s">
        <v>217</v>
      </c>
      <c r="D291" t="s">
        <v>447</v>
      </c>
      <c r="E291" t="s">
        <v>301</v>
      </c>
    </row>
    <row r="292" spans="1:5" x14ac:dyDescent="0.35">
      <c r="A292" t="s">
        <v>352</v>
      </c>
      <c r="B292" t="s">
        <v>468</v>
      </c>
      <c r="C292" t="s">
        <v>239</v>
      </c>
      <c r="D292" t="s">
        <v>447</v>
      </c>
      <c r="E292" t="s">
        <v>301</v>
      </c>
    </row>
    <row r="293" spans="1:5" x14ac:dyDescent="0.35">
      <c r="A293" t="s">
        <v>352</v>
      </c>
      <c r="B293" t="s">
        <v>469</v>
      </c>
      <c r="C293" t="s">
        <v>239</v>
      </c>
      <c r="D293" t="s">
        <v>447</v>
      </c>
      <c r="E293" t="s">
        <v>301</v>
      </c>
    </row>
    <row r="294" spans="1:5" x14ac:dyDescent="0.35">
      <c r="A294" t="s">
        <v>352</v>
      </c>
      <c r="B294" t="s">
        <v>470</v>
      </c>
      <c r="C294" t="s">
        <v>239</v>
      </c>
      <c r="D294" t="s">
        <v>447</v>
      </c>
      <c r="E294" t="s">
        <v>301</v>
      </c>
    </row>
    <row r="295" spans="1:5" x14ac:dyDescent="0.35">
      <c r="A295" t="s">
        <v>352</v>
      </c>
      <c r="B295" t="s">
        <v>471</v>
      </c>
      <c r="C295" t="s">
        <v>239</v>
      </c>
      <c r="D295" t="s">
        <v>447</v>
      </c>
      <c r="E295" t="s">
        <v>191</v>
      </c>
    </row>
    <row r="296" spans="1:5" x14ac:dyDescent="0.35">
      <c r="A296" t="s">
        <v>352</v>
      </c>
      <c r="B296" t="s">
        <v>472</v>
      </c>
      <c r="C296" t="s">
        <v>473</v>
      </c>
      <c r="D296" t="s">
        <v>447</v>
      </c>
      <c r="E296" t="s">
        <v>183</v>
      </c>
    </row>
    <row r="297" spans="1:5" x14ac:dyDescent="0.35">
      <c r="A297" t="s">
        <v>352</v>
      </c>
      <c r="B297" t="s">
        <v>474</v>
      </c>
      <c r="C297" t="s">
        <v>207</v>
      </c>
      <c r="D297" t="s">
        <v>475</v>
      </c>
      <c r="E297" t="s">
        <v>143</v>
      </c>
    </row>
    <row r="298" spans="1:5" x14ac:dyDescent="0.35">
      <c r="A298" t="s">
        <v>352</v>
      </c>
      <c r="B298" t="s">
        <v>476</v>
      </c>
      <c r="C298" t="s">
        <v>207</v>
      </c>
      <c r="D298" t="s">
        <v>475</v>
      </c>
      <c r="E298" t="s">
        <v>143</v>
      </c>
    </row>
    <row r="299" spans="1:5" x14ac:dyDescent="0.35">
      <c r="A299" t="s">
        <v>352</v>
      </c>
      <c r="B299" t="s">
        <v>477</v>
      </c>
      <c r="C299" t="s">
        <v>207</v>
      </c>
      <c r="D299" t="s">
        <v>475</v>
      </c>
      <c r="E299" t="s">
        <v>143</v>
      </c>
    </row>
    <row r="300" spans="1:5" x14ac:dyDescent="0.35">
      <c r="A300" t="s">
        <v>352</v>
      </c>
      <c r="B300" t="s">
        <v>478</v>
      </c>
      <c r="C300" t="s">
        <v>207</v>
      </c>
      <c r="D300" t="s">
        <v>475</v>
      </c>
      <c r="E300" t="s">
        <v>153</v>
      </c>
    </row>
    <row r="301" spans="1:5" x14ac:dyDescent="0.35">
      <c r="A301" t="s">
        <v>352</v>
      </c>
      <c r="B301" t="s">
        <v>479</v>
      </c>
      <c r="C301" t="s">
        <v>207</v>
      </c>
      <c r="D301" t="s">
        <v>475</v>
      </c>
      <c r="E301" t="s">
        <v>162</v>
      </c>
    </row>
    <row r="302" spans="1:5" x14ac:dyDescent="0.35">
      <c r="A302" t="s">
        <v>352</v>
      </c>
      <c r="B302" t="s">
        <v>480</v>
      </c>
      <c r="C302" t="s">
        <v>207</v>
      </c>
      <c r="D302" t="s">
        <v>475</v>
      </c>
      <c r="E302" t="s">
        <v>162</v>
      </c>
    </row>
    <row r="303" spans="1:5" x14ac:dyDescent="0.35">
      <c r="A303" t="s">
        <v>352</v>
      </c>
      <c r="B303" t="s">
        <v>481</v>
      </c>
      <c r="C303" t="s">
        <v>207</v>
      </c>
      <c r="D303" t="s">
        <v>475</v>
      </c>
      <c r="E303" t="s">
        <v>165</v>
      </c>
    </row>
    <row r="304" spans="1:5" x14ac:dyDescent="0.35">
      <c r="A304" t="s">
        <v>352</v>
      </c>
      <c r="B304" t="s">
        <v>482</v>
      </c>
      <c r="C304" t="s">
        <v>141</v>
      </c>
      <c r="D304" t="s">
        <v>475</v>
      </c>
      <c r="E304" t="s">
        <v>167</v>
      </c>
    </row>
    <row r="305" spans="1:5" x14ac:dyDescent="0.35">
      <c r="A305" t="s">
        <v>352</v>
      </c>
      <c r="B305" t="s">
        <v>483</v>
      </c>
      <c r="C305" t="s">
        <v>207</v>
      </c>
      <c r="D305" t="s">
        <v>475</v>
      </c>
      <c r="E305" t="s">
        <v>178</v>
      </c>
    </row>
    <row r="306" spans="1:5" x14ac:dyDescent="0.35">
      <c r="A306" t="s">
        <v>352</v>
      </c>
      <c r="B306" t="s">
        <v>484</v>
      </c>
      <c r="C306" t="s">
        <v>207</v>
      </c>
      <c r="D306" t="s">
        <v>475</v>
      </c>
      <c r="E306" t="s">
        <v>189</v>
      </c>
    </row>
    <row r="307" spans="1:5" x14ac:dyDescent="0.35">
      <c r="A307" t="s">
        <v>352</v>
      </c>
      <c r="B307" t="s">
        <v>485</v>
      </c>
      <c r="C307" t="s">
        <v>207</v>
      </c>
      <c r="D307" t="s">
        <v>475</v>
      </c>
      <c r="E307" t="s">
        <v>191</v>
      </c>
    </row>
    <row r="308" spans="1:5" x14ac:dyDescent="0.35">
      <c r="A308" t="s">
        <v>352</v>
      </c>
      <c r="B308" t="s">
        <v>486</v>
      </c>
      <c r="C308" t="s">
        <v>141</v>
      </c>
      <c r="D308" t="s">
        <v>475</v>
      </c>
      <c r="E308" t="s">
        <v>191</v>
      </c>
    </row>
    <row r="309" spans="1:5" x14ac:dyDescent="0.35">
      <c r="A309" t="s">
        <v>352</v>
      </c>
      <c r="B309" t="s">
        <v>487</v>
      </c>
      <c r="C309" t="s">
        <v>207</v>
      </c>
      <c r="D309" t="s">
        <v>475</v>
      </c>
      <c r="E309" t="s">
        <v>191</v>
      </c>
    </row>
    <row r="310" spans="1:5" x14ac:dyDescent="0.35">
      <c r="A310" t="s">
        <v>352</v>
      </c>
      <c r="B310" t="s">
        <v>488</v>
      </c>
      <c r="C310" t="s">
        <v>439</v>
      </c>
      <c r="D310" t="s">
        <v>489</v>
      </c>
      <c r="E310" t="s">
        <v>149</v>
      </c>
    </row>
    <row r="311" spans="1:5" x14ac:dyDescent="0.35">
      <c r="A311" t="s">
        <v>352</v>
      </c>
      <c r="B311" t="s">
        <v>490</v>
      </c>
      <c r="C311" t="s">
        <v>207</v>
      </c>
      <c r="D311" t="s">
        <v>489</v>
      </c>
      <c r="E311" t="s">
        <v>149</v>
      </c>
    </row>
    <row r="312" spans="1:5" x14ac:dyDescent="0.35">
      <c r="A312" t="s">
        <v>352</v>
      </c>
      <c r="B312" t="s">
        <v>491</v>
      </c>
      <c r="C312" t="s">
        <v>207</v>
      </c>
      <c r="D312" t="s">
        <v>489</v>
      </c>
      <c r="E312" t="s">
        <v>149</v>
      </c>
    </row>
    <row r="313" spans="1:5" x14ac:dyDescent="0.35">
      <c r="A313" t="s">
        <v>352</v>
      </c>
      <c r="B313" t="s">
        <v>492</v>
      </c>
      <c r="C313" t="s">
        <v>207</v>
      </c>
      <c r="D313" t="s">
        <v>489</v>
      </c>
      <c r="E313" t="s">
        <v>153</v>
      </c>
    </row>
    <row r="314" spans="1:5" x14ac:dyDescent="0.35">
      <c r="A314" t="s">
        <v>352</v>
      </c>
      <c r="B314" t="s">
        <v>493</v>
      </c>
      <c r="C314" t="s">
        <v>145</v>
      </c>
      <c r="D314" t="s">
        <v>489</v>
      </c>
      <c r="E314" t="s">
        <v>167</v>
      </c>
    </row>
    <row r="315" spans="1:5" x14ac:dyDescent="0.35">
      <c r="A315" t="s">
        <v>352</v>
      </c>
      <c r="B315" t="s">
        <v>494</v>
      </c>
      <c r="C315" t="s">
        <v>207</v>
      </c>
      <c r="D315" t="s">
        <v>489</v>
      </c>
      <c r="E315" t="s">
        <v>178</v>
      </c>
    </row>
    <row r="316" spans="1:5" x14ac:dyDescent="0.35">
      <c r="A316" t="s">
        <v>352</v>
      </c>
      <c r="B316" t="s">
        <v>495</v>
      </c>
      <c r="C316" t="s">
        <v>145</v>
      </c>
      <c r="D316" t="s">
        <v>489</v>
      </c>
      <c r="E316" t="s">
        <v>178</v>
      </c>
    </row>
    <row r="317" spans="1:5" x14ac:dyDescent="0.35">
      <c r="A317" t="s">
        <v>352</v>
      </c>
      <c r="B317" t="s">
        <v>496</v>
      </c>
      <c r="C317" t="s">
        <v>145</v>
      </c>
      <c r="D317" t="s">
        <v>489</v>
      </c>
      <c r="E317" t="s">
        <v>189</v>
      </c>
    </row>
    <row r="318" spans="1:5" x14ac:dyDescent="0.35">
      <c r="A318" t="s">
        <v>352</v>
      </c>
      <c r="B318" t="s">
        <v>497</v>
      </c>
      <c r="C318" t="s">
        <v>145</v>
      </c>
      <c r="D318" t="s">
        <v>498</v>
      </c>
      <c r="E318" t="s">
        <v>153</v>
      </c>
    </row>
    <row r="319" spans="1:5" x14ac:dyDescent="0.35">
      <c r="A319" t="s">
        <v>352</v>
      </c>
      <c r="B319" t="s">
        <v>499</v>
      </c>
      <c r="C319" t="s">
        <v>141</v>
      </c>
      <c r="D319" t="s">
        <v>498</v>
      </c>
      <c r="E319" t="s">
        <v>191</v>
      </c>
    </row>
    <row r="320" spans="1:5" x14ac:dyDescent="0.35">
      <c r="A320" t="s">
        <v>352</v>
      </c>
      <c r="B320" t="s">
        <v>500</v>
      </c>
      <c r="C320" t="s">
        <v>207</v>
      </c>
      <c r="D320" t="s">
        <v>498</v>
      </c>
      <c r="E320" t="s">
        <v>196</v>
      </c>
    </row>
    <row r="321" spans="1:5" x14ac:dyDescent="0.35">
      <c r="A321" t="s">
        <v>352</v>
      </c>
      <c r="B321" t="s">
        <v>501</v>
      </c>
      <c r="C321" t="s">
        <v>141</v>
      </c>
      <c r="D321" t="s">
        <v>498</v>
      </c>
      <c r="E321" t="s">
        <v>196</v>
      </c>
    </row>
    <row r="322" spans="1:5" x14ac:dyDescent="0.35">
      <c r="A322" t="s">
        <v>352</v>
      </c>
      <c r="B322" t="s">
        <v>502</v>
      </c>
      <c r="C322" t="s">
        <v>141</v>
      </c>
      <c r="D322" t="s">
        <v>498</v>
      </c>
      <c r="E322" t="s">
        <v>196</v>
      </c>
    </row>
    <row r="323" spans="1:5" x14ac:dyDescent="0.35">
      <c r="A323" t="s">
        <v>503</v>
      </c>
      <c r="B323" t="s">
        <v>504</v>
      </c>
      <c r="C323" t="s">
        <v>207</v>
      </c>
      <c r="D323" t="s">
        <v>505</v>
      </c>
      <c r="E323" t="s">
        <v>214</v>
      </c>
    </row>
    <row r="324" spans="1:5" x14ac:dyDescent="0.35">
      <c r="A324" t="s">
        <v>503</v>
      </c>
      <c r="B324" t="s">
        <v>506</v>
      </c>
      <c r="C324" t="s">
        <v>145</v>
      </c>
      <c r="D324" t="s">
        <v>505</v>
      </c>
      <c r="E324" t="s">
        <v>143</v>
      </c>
    </row>
    <row r="325" spans="1:5" x14ac:dyDescent="0.35">
      <c r="A325" t="s">
        <v>503</v>
      </c>
      <c r="B325" t="s">
        <v>507</v>
      </c>
      <c r="C325" t="s">
        <v>207</v>
      </c>
      <c r="D325" t="s">
        <v>505</v>
      </c>
      <c r="E325" t="s">
        <v>143</v>
      </c>
    </row>
    <row r="326" spans="1:5" x14ac:dyDescent="0.35">
      <c r="A326" t="s">
        <v>503</v>
      </c>
      <c r="B326" t="s">
        <v>508</v>
      </c>
      <c r="C326" t="s">
        <v>207</v>
      </c>
      <c r="D326" t="s">
        <v>505</v>
      </c>
      <c r="E326" t="s">
        <v>143</v>
      </c>
    </row>
    <row r="327" spans="1:5" x14ac:dyDescent="0.35">
      <c r="A327" t="s">
        <v>503</v>
      </c>
      <c r="B327" t="s">
        <v>509</v>
      </c>
      <c r="C327" t="s">
        <v>145</v>
      </c>
      <c r="D327" t="s">
        <v>505</v>
      </c>
      <c r="E327" t="s">
        <v>153</v>
      </c>
    </row>
    <row r="328" spans="1:5" x14ac:dyDescent="0.35">
      <c r="A328" t="s">
        <v>503</v>
      </c>
      <c r="B328" t="s">
        <v>510</v>
      </c>
      <c r="C328" t="s">
        <v>145</v>
      </c>
      <c r="D328" t="s">
        <v>505</v>
      </c>
      <c r="E328" t="s">
        <v>170</v>
      </c>
    </row>
    <row r="329" spans="1:5" x14ac:dyDescent="0.35">
      <c r="A329" t="s">
        <v>503</v>
      </c>
      <c r="B329" t="s">
        <v>511</v>
      </c>
      <c r="C329" t="s">
        <v>207</v>
      </c>
      <c r="D329" t="s">
        <v>505</v>
      </c>
      <c r="E329" t="s">
        <v>183</v>
      </c>
    </row>
    <row r="330" spans="1:5" x14ac:dyDescent="0.35">
      <c r="A330" t="s">
        <v>503</v>
      </c>
      <c r="B330" t="s">
        <v>512</v>
      </c>
      <c r="C330" t="s">
        <v>145</v>
      </c>
      <c r="D330" t="s">
        <v>513</v>
      </c>
      <c r="E330" t="s">
        <v>214</v>
      </c>
    </row>
    <row r="331" spans="1:5" x14ac:dyDescent="0.35">
      <c r="A331" t="s">
        <v>503</v>
      </c>
      <c r="B331" t="s">
        <v>514</v>
      </c>
      <c r="C331" t="s">
        <v>212</v>
      </c>
      <c r="D331" t="s">
        <v>513</v>
      </c>
      <c r="E331" t="s">
        <v>214</v>
      </c>
    </row>
    <row r="332" spans="1:5" x14ac:dyDescent="0.35">
      <c r="A332" t="s">
        <v>503</v>
      </c>
      <c r="B332" t="s">
        <v>515</v>
      </c>
      <c r="C332" t="s">
        <v>141</v>
      </c>
      <c r="D332" t="s">
        <v>513</v>
      </c>
      <c r="E332" t="s">
        <v>214</v>
      </c>
    </row>
    <row r="333" spans="1:5" x14ac:dyDescent="0.35">
      <c r="A333" t="s">
        <v>503</v>
      </c>
      <c r="B333" t="s">
        <v>516</v>
      </c>
      <c r="C333" t="s">
        <v>207</v>
      </c>
      <c r="D333" t="s">
        <v>513</v>
      </c>
      <c r="E333" t="s">
        <v>214</v>
      </c>
    </row>
    <row r="334" spans="1:5" x14ac:dyDescent="0.35">
      <c r="A334" t="s">
        <v>503</v>
      </c>
      <c r="B334" t="s">
        <v>517</v>
      </c>
      <c r="C334" t="s">
        <v>336</v>
      </c>
      <c r="D334" t="s">
        <v>513</v>
      </c>
      <c r="E334" t="s">
        <v>214</v>
      </c>
    </row>
    <row r="335" spans="1:5" x14ac:dyDescent="0.35">
      <c r="A335" t="s">
        <v>503</v>
      </c>
      <c r="B335" t="s">
        <v>518</v>
      </c>
      <c r="C335" t="s">
        <v>207</v>
      </c>
      <c r="D335" t="s">
        <v>513</v>
      </c>
      <c r="E335" t="s">
        <v>214</v>
      </c>
    </row>
    <row r="336" spans="1:5" x14ac:dyDescent="0.35">
      <c r="A336" t="s">
        <v>503</v>
      </c>
      <c r="B336" t="s">
        <v>519</v>
      </c>
      <c r="C336" t="s">
        <v>145</v>
      </c>
      <c r="D336" t="s">
        <v>513</v>
      </c>
      <c r="E336" t="s">
        <v>214</v>
      </c>
    </row>
    <row r="337" spans="1:5" x14ac:dyDescent="0.35">
      <c r="A337" t="s">
        <v>503</v>
      </c>
      <c r="B337" t="s">
        <v>520</v>
      </c>
      <c r="C337" t="s">
        <v>207</v>
      </c>
      <c r="D337" t="s">
        <v>513</v>
      </c>
      <c r="E337" t="s">
        <v>143</v>
      </c>
    </row>
    <row r="338" spans="1:5" x14ac:dyDescent="0.35">
      <c r="A338" t="s">
        <v>503</v>
      </c>
      <c r="B338" t="s">
        <v>521</v>
      </c>
      <c r="C338" t="s">
        <v>145</v>
      </c>
      <c r="D338" t="s">
        <v>513</v>
      </c>
      <c r="E338" t="s">
        <v>143</v>
      </c>
    </row>
    <row r="339" spans="1:5" x14ac:dyDescent="0.35">
      <c r="A339" t="s">
        <v>503</v>
      </c>
      <c r="B339" t="s">
        <v>522</v>
      </c>
      <c r="C339" t="s">
        <v>145</v>
      </c>
      <c r="D339" t="s">
        <v>513</v>
      </c>
      <c r="E339" t="s">
        <v>143</v>
      </c>
    </row>
    <row r="340" spans="1:5" x14ac:dyDescent="0.35">
      <c r="A340" t="s">
        <v>503</v>
      </c>
      <c r="B340" t="s">
        <v>523</v>
      </c>
      <c r="C340" t="s">
        <v>207</v>
      </c>
      <c r="D340" t="s">
        <v>513</v>
      </c>
      <c r="E340" t="s">
        <v>143</v>
      </c>
    </row>
    <row r="341" spans="1:5" x14ac:dyDescent="0.35">
      <c r="A341" t="s">
        <v>503</v>
      </c>
      <c r="B341" t="s">
        <v>524</v>
      </c>
      <c r="C341" t="s">
        <v>141</v>
      </c>
      <c r="D341" t="s">
        <v>513</v>
      </c>
      <c r="E341" t="s">
        <v>143</v>
      </c>
    </row>
    <row r="342" spans="1:5" x14ac:dyDescent="0.35">
      <c r="A342" t="s">
        <v>503</v>
      </c>
      <c r="B342" t="s">
        <v>525</v>
      </c>
      <c r="C342" t="s">
        <v>145</v>
      </c>
      <c r="D342" t="s">
        <v>513</v>
      </c>
      <c r="E342" t="s">
        <v>143</v>
      </c>
    </row>
    <row r="343" spans="1:5" x14ac:dyDescent="0.35">
      <c r="A343" t="s">
        <v>503</v>
      </c>
      <c r="B343" t="s">
        <v>526</v>
      </c>
      <c r="C343" t="s">
        <v>145</v>
      </c>
      <c r="D343" t="s">
        <v>513</v>
      </c>
      <c r="E343" t="s">
        <v>143</v>
      </c>
    </row>
    <row r="344" spans="1:5" x14ac:dyDescent="0.35">
      <c r="A344" t="s">
        <v>503</v>
      </c>
      <c r="B344" t="s">
        <v>527</v>
      </c>
      <c r="C344" t="s">
        <v>145</v>
      </c>
      <c r="D344" t="s">
        <v>513</v>
      </c>
      <c r="E344" t="s">
        <v>143</v>
      </c>
    </row>
    <row r="345" spans="1:5" x14ac:dyDescent="0.35">
      <c r="A345" t="s">
        <v>503</v>
      </c>
      <c r="B345" t="s">
        <v>528</v>
      </c>
      <c r="C345" t="s">
        <v>141</v>
      </c>
      <c r="D345" t="s">
        <v>513</v>
      </c>
      <c r="E345" t="s">
        <v>149</v>
      </c>
    </row>
    <row r="346" spans="1:5" x14ac:dyDescent="0.35">
      <c r="A346" t="s">
        <v>503</v>
      </c>
      <c r="B346" t="s">
        <v>529</v>
      </c>
      <c r="C346" t="s">
        <v>145</v>
      </c>
      <c r="D346" t="s">
        <v>513</v>
      </c>
      <c r="E346" t="s">
        <v>149</v>
      </c>
    </row>
    <row r="347" spans="1:5" x14ac:dyDescent="0.35">
      <c r="A347" t="s">
        <v>503</v>
      </c>
      <c r="B347" t="s">
        <v>530</v>
      </c>
      <c r="C347" t="s">
        <v>145</v>
      </c>
      <c r="D347" t="s">
        <v>513</v>
      </c>
      <c r="E347" t="s">
        <v>149</v>
      </c>
    </row>
    <row r="348" spans="1:5" x14ac:dyDescent="0.35">
      <c r="A348" t="s">
        <v>503</v>
      </c>
      <c r="B348" t="s">
        <v>531</v>
      </c>
      <c r="C348" t="s">
        <v>145</v>
      </c>
      <c r="D348" t="s">
        <v>513</v>
      </c>
      <c r="E348" t="s">
        <v>149</v>
      </c>
    </row>
    <row r="349" spans="1:5" x14ac:dyDescent="0.35">
      <c r="A349" t="s">
        <v>503</v>
      </c>
      <c r="B349" t="s">
        <v>532</v>
      </c>
      <c r="C349" t="s">
        <v>141</v>
      </c>
      <c r="D349" t="s">
        <v>513</v>
      </c>
      <c r="E349" t="s">
        <v>153</v>
      </c>
    </row>
    <row r="350" spans="1:5" x14ac:dyDescent="0.35">
      <c r="A350" t="s">
        <v>503</v>
      </c>
      <c r="B350" t="s">
        <v>533</v>
      </c>
      <c r="C350" t="s">
        <v>207</v>
      </c>
      <c r="D350" t="s">
        <v>513</v>
      </c>
      <c r="E350" t="s">
        <v>153</v>
      </c>
    </row>
    <row r="351" spans="1:5" x14ac:dyDescent="0.35">
      <c r="A351" t="s">
        <v>503</v>
      </c>
      <c r="B351" t="s">
        <v>534</v>
      </c>
      <c r="C351" t="s">
        <v>145</v>
      </c>
      <c r="D351" t="s">
        <v>513</v>
      </c>
      <c r="E351" t="s">
        <v>153</v>
      </c>
    </row>
    <row r="352" spans="1:5" x14ac:dyDescent="0.35">
      <c r="A352" t="s">
        <v>503</v>
      </c>
      <c r="B352" t="s">
        <v>535</v>
      </c>
      <c r="C352" t="s">
        <v>141</v>
      </c>
      <c r="D352" t="s">
        <v>513</v>
      </c>
      <c r="E352" t="s">
        <v>153</v>
      </c>
    </row>
    <row r="353" spans="1:5" x14ac:dyDescent="0.35">
      <c r="A353" t="s">
        <v>503</v>
      </c>
      <c r="B353" t="s">
        <v>536</v>
      </c>
      <c r="C353" t="s">
        <v>233</v>
      </c>
      <c r="D353" t="s">
        <v>513</v>
      </c>
      <c r="E353" t="s">
        <v>153</v>
      </c>
    </row>
    <row r="354" spans="1:5" x14ac:dyDescent="0.35">
      <c r="A354" t="s">
        <v>503</v>
      </c>
      <c r="B354" t="s">
        <v>537</v>
      </c>
      <c r="C354" t="s">
        <v>207</v>
      </c>
      <c r="D354" t="s">
        <v>513</v>
      </c>
      <c r="E354" t="s">
        <v>153</v>
      </c>
    </row>
    <row r="355" spans="1:5" x14ac:dyDescent="0.35">
      <c r="A355" t="s">
        <v>503</v>
      </c>
      <c r="B355" t="s">
        <v>538</v>
      </c>
      <c r="C355" t="s">
        <v>207</v>
      </c>
      <c r="D355" t="s">
        <v>513</v>
      </c>
      <c r="E355" t="s">
        <v>156</v>
      </c>
    </row>
    <row r="356" spans="1:5" x14ac:dyDescent="0.35">
      <c r="A356" t="s">
        <v>503</v>
      </c>
      <c r="B356" t="s">
        <v>539</v>
      </c>
      <c r="C356" t="s">
        <v>141</v>
      </c>
      <c r="D356" t="s">
        <v>513</v>
      </c>
      <c r="E356" t="s">
        <v>156</v>
      </c>
    </row>
    <row r="357" spans="1:5" x14ac:dyDescent="0.35">
      <c r="A357" t="s">
        <v>503</v>
      </c>
      <c r="B357" t="s">
        <v>540</v>
      </c>
      <c r="C357" t="s">
        <v>145</v>
      </c>
      <c r="D357" t="s">
        <v>513</v>
      </c>
      <c r="E357" t="s">
        <v>156</v>
      </c>
    </row>
    <row r="358" spans="1:5" x14ac:dyDescent="0.35">
      <c r="A358" t="s">
        <v>503</v>
      </c>
      <c r="B358" t="s">
        <v>541</v>
      </c>
      <c r="C358" t="s">
        <v>207</v>
      </c>
      <c r="D358" t="s">
        <v>513</v>
      </c>
      <c r="E358" t="s">
        <v>156</v>
      </c>
    </row>
    <row r="359" spans="1:5" x14ac:dyDescent="0.35">
      <c r="A359" t="s">
        <v>503</v>
      </c>
      <c r="B359" t="s">
        <v>542</v>
      </c>
      <c r="C359" t="s">
        <v>145</v>
      </c>
      <c r="D359" t="s">
        <v>513</v>
      </c>
      <c r="E359" t="s">
        <v>156</v>
      </c>
    </row>
    <row r="360" spans="1:5" x14ac:dyDescent="0.35">
      <c r="A360" t="s">
        <v>503</v>
      </c>
      <c r="B360" t="s">
        <v>543</v>
      </c>
      <c r="C360" t="s">
        <v>145</v>
      </c>
      <c r="D360" t="s">
        <v>513</v>
      </c>
      <c r="E360" t="s">
        <v>156</v>
      </c>
    </row>
    <row r="361" spans="1:5" x14ac:dyDescent="0.35">
      <c r="A361" t="s">
        <v>503</v>
      </c>
      <c r="B361" t="s">
        <v>544</v>
      </c>
      <c r="C361" t="s">
        <v>145</v>
      </c>
      <c r="D361" t="s">
        <v>513</v>
      </c>
      <c r="E361" t="s">
        <v>162</v>
      </c>
    </row>
    <row r="362" spans="1:5" x14ac:dyDescent="0.35">
      <c r="A362" t="s">
        <v>503</v>
      </c>
      <c r="B362" t="s">
        <v>545</v>
      </c>
      <c r="C362" t="s">
        <v>145</v>
      </c>
      <c r="D362" t="s">
        <v>513</v>
      </c>
      <c r="E362" t="s">
        <v>162</v>
      </c>
    </row>
    <row r="363" spans="1:5" x14ac:dyDescent="0.35">
      <c r="A363" t="s">
        <v>503</v>
      </c>
      <c r="B363" t="s">
        <v>546</v>
      </c>
      <c r="C363" t="s">
        <v>207</v>
      </c>
      <c r="D363" t="s">
        <v>513</v>
      </c>
      <c r="E363" t="s">
        <v>162</v>
      </c>
    </row>
    <row r="364" spans="1:5" x14ac:dyDescent="0.35">
      <c r="A364" t="s">
        <v>503</v>
      </c>
      <c r="B364" t="s">
        <v>547</v>
      </c>
      <c r="C364" t="s">
        <v>212</v>
      </c>
      <c r="D364" t="s">
        <v>513</v>
      </c>
      <c r="E364" t="s">
        <v>162</v>
      </c>
    </row>
    <row r="365" spans="1:5" x14ac:dyDescent="0.35">
      <c r="A365" t="s">
        <v>503</v>
      </c>
      <c r="B365" t="s">
        <v>548</v>
      </c>
      <c r="C365" t="s">
        <v>145</v>
      </c>
      <c r="D365" t="s">
        <v>513</v>
      </c>
      <c r="E365" t="s">
        <v>162</v>
      </c>
    </row>
    <row r="366" spans="1:5" x14ac:dyDescent="0.35">
      <c r="A366" t="s">
        <v>503</v>
      </c>
      <c r="B366" t="s">
        <v>549</v>
      </c>
      <c r="C366" t="s">
        <v>145</v>
      </c>
      <c r="D366" t="s">
        <v>513</v>
      </c>
      <c r="E366" t="s">
        <v>162</v>
      </c>
    </row>
    <row r="367" spans="1:5" x14ac:dyDescent="0.35">
      <c r="A367" t="s">
        <v>503</v>
      </c>
      <c r="B367" t="s">
        <v>550</v>
      </c>
      <c r="C367" t="s">
        <v>145</v>
      </c>
      <c r="D367" t="s">
        <v>513</v>
      </c>
      <c r="E367" t="s">
        <v>162</v>
      </c>
    </row>
    <row r="368" spans="1:5" x14ac:dyDescent="0.35">
      <c r="A368" t="s">
        <v>503</v>
      </c>
      <c r="B368" t="s">
        <v>551</v>
      </c>
      <c r="C368" t="s">
        <v>336</v>
      </c>
      <c r="D368" t="s">
        <v>513</v>
      </c>
      <c r="E368" t="s">
        <v>162</v>
      </c>
    </row>
    <row r="369" spans="1:5" x14ac:dyDescent="0.35">
      <c r="A369" t="s">
        <v>503</v>
      </c>
      <c r="B369" t="s">
        <v>552</v>
      </c>
      <c r="C369" t="s">
        <v>145</v>
      </c>
      <c r="D369" t="s">
        <v>513</v>
      </c>
      <c r="E369" t="s">
        <v>162</v>
      </c>
    </row>
    <row r="370" spans="1:5" x14ac:dyDescent="0.35">
      <c r="A370" t="s">
        <v>503</v>
      </c>
      <c r="B370" t="s">
        <v>553</v>
      </c>
      <c r="C370" t="s">
        <v>207</v>
      </c>
      <c r="D370" t="s">
        <v>513</v>
      </c>
      <c r="E370" t="s">
        <v>162</v>
      </c>
    </row>
    <row r="371" spans="1:5" x14ac:dyDescent="0.35">
      <c r="A371" t="s">
        <v>503</v>
      </c>
      <c r="B371" t="s">
        <v>554</v>
      </c>
      <c r="C371" t="s">
        <v>145</v>
      </c>
      <c r="D371" t="s">
        <v>513</v>
      </c>
      <c r="E371" t="s">
        <v>162</v>
      </c>
    </row>
    <row r="372" spans="1:5" x14ac:dyDescent="0.35">
      <c r="A372" t="s">
        <v>503</v>
      </c>
      <c r="B372" t="s">
        <v>555</v>
      </c>
      <c r="C372" t="s">
        <v>141</v>
      </c>
      <c r="D372" t="s">
        <v>513</v>
      </c>
      <c r="E372" t="s">
        <v>165</v>
      </c>
    </row>
    <row r="373" spans="1:5" x14ac:dyDescent="0.35">
      <c r="A373" t="s">
        <v>503</v>
      </c>
      <c r="B373" t="s">
        <v>556</v>
      </c>
      <c r="C373" t="s">
        <v>145</v>
      </c>
      <c r="D373" t="s">
        <v>513</v>
      </c>
      <c r="E373" t="s">
        <v>165</v>
      </c>
    </row>
    <row r="374" spans="1:5" x14ac:dyDescent="0.35">
      <c r="A374" t="s">
        <v>503</v>
      </c>
      <c r="B374" t="s">
        <v>557</v>
      </c>
      <c r="C374" t="s">
        <v>145</v>
      </c>
      <c r="D374" t="s">
        <v>513</v>
      </c>
      <c r="E374" t="s">
        <v>165</v>
      </c>
    </row>
    <row r="375" spans="1:5" x14ac:dyDescent="0.35">
      <c r="A375" t="s">
        <v>503</v>
      </c>
      <c r="B375" t="s">
        <v>558</v>
      </c>
      <c r="C375" t="s">
        <v>207</v>
      </c>
      <c r="D375" t="s">
        <v>513</v>
      </c>
      <c r="E375" t="s">
        <v>165</v>
      </c>
    </row>
    <row r="376" spans="1:5" x14ac:dyDescent="0.35">
      <c r="A376" t="s">
        <v>503</v>
      </c>
      <c r="B376" t="s">
        <v>559</v>
      </c>
      <c r="C376" t="s">
        <v>145</v>
      </c>
      <c r="D376" t="s">
        <v>513</v>
      </c>
      <c r="E376" t="s">
        <v>165</v>
      </c>
    </row>
    <row r="377" spans="1:5" x14ac:dyDescent="0.35">
      <c r="A377" t="s">
        <v>503</v>
      </c>
      <c r="B377" t="s">
        <v>560</v>
      </c>
      <c r="C377" t="s">
        <v>207</v>
      </c>
      <c r="D377" t="s">
        <v>513</v>
      </c>
      <c r="E377" t="s">
        <v>165</v>
      </c>
    </row>
    <row r="378" spans="1:5" x14ac:dyDescent="0.35">
      <c r="A378" t="s">
        <v>503</v>
      </c>
      <c r="B378" t="s">
        <v>561</v>
      </c>
      <c r="C378" t="s">
        <v>207</v>
      </c>
      <c r="D378" t="s">
        <v>513</v>
      </c>
      <c r="E378" t="s">
        <v>165</v>
      </c>
    </row>
    <row r="379" spans="1:5" x14ac:dyDescent="0.35">
      <c r="A379" t="s">
        <v>503</v>
      </c>
      <c r="B379" t="s">
        <v>562</v>
      </c>
      <c r="C379" t="s">
        <v>207</v>
      </c>
      <c r="D379" t="s">
        <v>513</v>
      </c>
      <c r="E379" t="s">
        <v>165</v>
      </c>
    </row>
    <row r="380" spans="1:5" x14ac:dyDescent="0.35">
      <c r="A380" t="s">
        <v>503</v>
      </c>
      <c r="B380" t="s">
        <v>563</v>
      </c>
      <c r="C380" t="s">
        <v>207</v>
      </c>
      <c r="D380" t="s">
        <v>513</v>
      </c>
      <c r="E380" t="s">
        <v>165</v>
      </c>
    </row>
    <row r="381" spans="1:5" x14ac:dyDescent="0.35">
      <c r="A381" t="s">
        <v>503</v>
      </c>
      <c r="B381" t="s">
        <v>564</v>
      </c>
      <c r="C381" t="s">
        <v>145</v>
      </c>
      <c r="D381" t="s">
        <v>513</v>
      </c>
      <c r="E381" t="s">
        <v>356</v>
      </c>
    </row>
    <row r="382" spans="1:5" x14ac:dyDescent="0.35">
      <c r="A382" t="s">
        <v>503</v>
      </c>
      <c r="B382" t="s">
        <v>565</v>
      </c>
      <c r="C382" t="s">
        <v>145</v>
      </c>
      <c r="D382" t="s">
        <v>513</v>
      </c>
      <c r="E382" t="s">
        <v>356</v>
      </c>
    </row>
    <row r="383" spans="1:5" x14ac:dyDescent="0.35">
      <c r="A383" t="s">
        <v>503</v>
      </c>
      <c r="B383" t="s">
        <v>566</v>
      </c>
      <c r="C383" t="s">
        <v>145</v>
      </c>
      <c r="D383" t="s">
        <v>513</v>
      </c>
      <c r="E383" t="s">
        <v>167</v>
      </c>
    </row>
    <row r="384" spans="1:5" x14ac:dyDescent="0.35">
      <c r="A384" t="s">
        <v>503</v>
      </c>
      <c r="B384" t="s">
        <v>567</v>
      </c>
      <c r="C384" t="s">
        <v>145</v>
      </c>
      <c r="D384" t="s">
        <v>513</v>
      </c>
      <c r="E384" t="s">
        <v>167</v>
      </c>
    </row>
    <row r="385" spans="1:5" x14ac:dyDescent="0.35">
      <c r="A385" t="s">
        <v>503</v>
      </c>
      <c r="B385" t="s">
        <v>568</v>
      </c>
      <c r="C385" t="s">
        <v>336</v>
      </c>
      <c r="D385" t="s">
        <v>513</v>
      </c>
      <c r="E385" t="s">
        <v>167</v>
      </c>
    </row>
    <row r="386" spans="1:5" x14ac:dyDescent="0.35">
      <c r="A386" t="s">
        <v>503</v>
      </c>
      <c r="B386" t="s">
        <v>569</v>
      </c>
      <c r="C386" t="s">
        <v>145</v>
      </c>
      <c r="D386" t="s">
        <v>513</v>
      </c>
      <c r="E386" t="s">
        <v>167</v>
      </c>
    </row>
    <row r="387" spans="1:5" x14ac:dyDescent="0.35">
      <c r="A387" t="s">
        <v>503</v>
      </c>
      <c r="B387" t="s">
        <v>570</v>
      </c>
      <c r="C387" t="s">
        <v>145</v>
      </c>
      <c r="D387" t="s">
        <v>513</v>
      </c>
      <c r="E387" t="s">
        <v>167</v>
      </c>
    </row>
    <row r="388" spans="1:5" x14ac:dyDescent="0.35">
      <c r="A388" t="s">
        <v>503</v>
      </c>
      <c r="B388" t="s">
        <v>571</v>
      </c>
      <c r="C388" t="s">
        <v>145</v>
      </c>
      <c r="D388" t="s">
        <v>513</v>
      </c>
      <c r="E388" t="s">
        <v>167</v>
      </c>
    </row>
    <row r="389" spans="1:5" x14ac:dyDescent="0.35">
      <c r="A389" t="s">
        <v>503</v>
      </c>
      <c r="B389" t="s">
        <v>572</v>
      </c>
      <c r="C389" t="s">
        <v>145</v>
      </c>
      <c r="D389" t="s">
        <v>513</v>
      </c>
      <c r="E389" t="s">
        <v>167</v>
      </c>
    </row>
    <row r="390" spans="1:5" x14ac:dyDescent="0.35">
      <c r="A390" t="s">
        <v>503</v>
      </c>
      <c r="B390" t="s">
        <v>573</v>
      </c>
      <c r="C390" t="s">
        <v>207</v>
      </c>
      <c r="D390" t="s">
        <v>513</v>
      </c>
      <c r="E390" t="s">
        <v>167</v>
      </c>
    </row>
    <row r="391" spans="1:5" x14ac:dyDescent="0.35">
      <c r="A391" t="s">
        <v>503</v>
      </c>
      <c r="B391" t="s">
        <v>574</v>
      </c>
      <c r="C391" t="s">
        <v>145</v>
      </c>
      <c r="D391" t="s">
        <v>513</v>
      </c>
      <c r="E391" t="s">
        <v>170</v>
      </c>
    </row>
    <row r="392" spans="1:5" x14ac:dyDescent="0.35">
      <c r="A392" t="s">
        <v>503</v>
      </c>
      <c r="B392" t="s">
        <v>575</v>
      </c>
      <c r="C392" t="s">
        <v>145</v>
      </c>
      <c r="D392" t="s">
        <v>513</v>
      </c>
      <c r="E392" t="s">
        <v>170</v>
      </c>
    </row>
    <row r="393" spans="1:5" x14ac:dyDescent="0.35">
      <c r="A393" t="s">
        <v>503</v>
      </c>
      <c r="B393" t="s">
        <v>576</v>
      </c>
      <c r="C393" t="s">
        <v>207</v>
      </c>
      <c r="D393" t="s">
        <v>513</v>
      </c>
      <c r="E393" t="s">
        <v>170</v>
      </c>
    </row>
    <row r="394" spans="1:5" x14ac:dyDescent="0.35">
      <c r="A394" t="s">
        <v>503</v>
      </c>
      <c r="B394" t="s">
        <v>577</v>
      </c>
      <c r="C394" t="s">
        <v>207</v>
      </c>
      <c r="D394" t="s">
        <v>513</v>
      </c>
      <c r="E394" t="s">
        <v>173</v>
      </c>
    </row>
    <row r="395" spans="1:5" x14ac:dyDescent="0.35">
      <c r="A395" t="s">
        <v>503</v>
      </c>
      <c r="B395" t="s">
        <v>578</v>
      </c>
      <c r="C395" t="s">
        <v>207</v>
      </c>
      <c r="D395" t="s">
        <v>513</v>
      </c>
      <c r="E395" t="s">
        <v>173</v>
      </c>
    </row>
    <row r="396" spans="1:5" x14ac:dyDescent="0.35">
      <c r="A396" t="s">
        <v>503</v>
      </c>
      <c r="B396" t="s">
        <v>579</v>
      </c>
      <c r="C396" t="s">
        <v>207</v>
      </c>
      <c r="D396" t="s">
        <v>513</v>
      </c>
      <c r="E396" t="s">
        <v>173</v>
      </c>
    </row>
    <row r="397" spans="1:5" x14ac:dyDescent="0.35">
      <c r="A397" t="s">
        <v>503</v>
      </c>
      <c r="B397" t="s">
        <v>580</v>
      </c>
      <c r="C397" t="s">
        <v>145</v>
      </c>
      <c r="D397" t="s">
        <v>513</v>
      </c>
      <c r="E397" t="s">
        <v>173</v>
      </c>
    </row>
    <row r="398" spans="1:5" x14ac:dyDescent="0.35">
      <c r="A398" t="s">
        <v>503</v>
      </c>
      <c r="B398" t="s">
        <v>581</v>
      </c>
      <c r="C398" t="s">
        <v>145</v>
      </c>
      <c r="D398" t="s">
        <v>513</v>
      </c>
      <c r="E398" t="s">
        <v>173</v>
      </c>
    </row>
    <row r="399" spans="1:5" x14ac:dyDescent="0.35">
      <c r="A399" t="s">
        <v>503</v>
      </c>
      <c r="B399" t="s">
        <v>582</v>
      </c>
      <c r="C399" t="s">
        <v>145</v>
      </c>
      <c r="D399" t="s">
        <v>513</v>
      </c>
      <c r="E399" t="s">
        <v>173</v>
      </c>
    </row>
    <row r="400" spans="1:5" x14ac:dyDescent="0.35">
      <c r="A400" t="s">
        <v>503</v>
      </c>
      <c r="B400" t="s">
        <v>583</v>
      </c>
      <c r="C400" t="s">
        <v>145</v>
      </c>
      <c r="D400" t="s">
        <v>513</v>
      </c>
      <c r="E400" t="s">
        <v>173</v>
      </c>
    </row>
    <row r="401" spans="1:5" x14ac:dyDescent="0.35">
      <c r="A401" t="s">
        <v>503</v>
      </c>
      <c r="B401" t="s">
        <v>584</v>
      </c>
      <c r="C401" t="s">
        <v>145</v>
      </c>
      <c r="D401" t="s">
        <v>513</v>
      </c>
      <c r="E401" t="s">
        <v>178</v>
      </c>
    </row>
    <row r="402" spans="1:5" x14ac:dyDescent="0.35">
      <c r="A402" t="s">
        <v>503</v>
      </c>
      <c r="B402" t="s">
        <v>585</v>
      </c>
      <c r="C402" t="s">
        <v>141</v>
      </c>
      <c r="D402" t="s">
        <v>513</v>
      </c>
      <c r="E402" t="s">
        <v>178</v>
      </c>
    </row>
    <row r="403" spans="1:5" x14ac:dyDescent="0.35">
      <c r="A403" t="s">
        <v>503</v>
      </c>
      <c r="B403" t="s">
        <v>586</v>
      </c>
      <c r="C403" t="s">
        <v>145</v>
      </c>
      <c r="D403" t="s">
        <v>513</v>
      </c>
      <c r="E403" t="s">
        <v>178</v>
      </c>
    </row>
    <row r="404" spans="1:5" x14ac:dyDescent="0.35">
      <c r="A404" t="s">
        <v>503</v>
      </c>
      <c r="B404" t="s">
        <v>587</v>
      </c>
      <c r="C404" t="s">
        <v>207</v>
      </c>
      <c r="D404" t="s">
        <v>513</v>
      </c>
      <c r="E404" t="s">
        <v>178</v>
      </c>
    </row>
    <row r="405" spans="1:5" x14ac:dyDescent="0.35">
      <c r="A405" t="s">
        <v>503</v>
      </c>
      <c r="B405" t="s">
        <v>588</v>
      </c>
      <c r="C405" t="s">
        <v>145</v>
      </c>
      <c r="D405" t="s">
        <v>513</v>
      </c>
      <c r="E405" t="s">
        <v>178</v>
      </c>
    </row>
    <row r="406" spans="1:5" x14ac:dyDescent="0.35">
      <c r="A406" t="s">
        <v>503</v>
      </c>
      <c r="B406" t="s">
        <v>589</v>
      </c>
      <c r="C406" t="s">
        <v>145</v>
      </c>
      <c r="D406" t="s">
        <v>513</v>
      </c>
      <c r="E406" t="s">
        <v>178</v>
      </c>
    </row>
    <row r="407" spans="1:5" x14ac:dyDescent="0.35">
      <c r="A407" t="s">
        <v>503</v>
      </c>
      <c r="B407" t="s">
        <v>590</v>
      </c>
      <c r="C407" t="s">
        <v>145</v>
      </c>
      <c r="D407" t="s">
        <v>513</v>
      </c>
      <c r="E407" t="s">
        <v>178</v>
      </c>
    </row>
    <row r="408" spans="1:5" x14ac:dyDescent="0.35">
      <c r="A408" t="s">
        <v>503</v>
      </c>
      <c r="B408" t="s">
        <v>591</v>
      </c>
      <c r="C408" t="s">
        <v>336</v>
      </c>
      <c r="D408" t="s">
        <v>513</v>
      </c>
      <c r="E408" t="s">
        <v>178</v>
      </c>
    </row>
    <row r="409" spans="1:5" x14ac:dyDescent="0.35">
      <c r="A409" t="s">
        <v>503</v>
      </c>
      <c r="B409" t="s">
        <v>592</v>
      </c>
      <c r="C409" t="s">
        <v>141</v>
      </c>
      <c r="D409" t="s">
        <v>513</v>
      </c>
      <c r="E409" t="s">
        <v>178</v>
      </c>
    </row>
    <row r="410" spans="1:5" x14ac:dyDescent="0.35">
      <c r="A410" t="s">
        <v>503</v>
      </c>
      <c r="B410" t="s">
        <v>593</v>
      </c>
      <c r="C410" t="s">
        <v>141</v>
      </c>
      <c r="D410" t="s">
        <v>513</v>
      </c>
      <c r="E410" t="s">
        <v>183</v>
      </c>
    </row>
    <row r="411" spans="1:5" x14ac:dyDescent="0.35">
      <c r="A411" t="s">
        <v>503</v>
      </c>
      <c r="B411" t="s">
        <v>594</v>
      </c>
      <c r="C411" t="s">
        <v>145</v>
      </c>
      <c r="D411" t="s">
        <v>513</v>
      </c>
      <c r="E411" t="s">
        <v>183</v>
      </c>
    </row>
    <row r="412" spans="1:5" x14ac:dyDescent="0.35">
      <c r="A412" t="s">
        <v>503</v>
      </c>
      <c r="B412" t="s">
        <v>595</v>
      </c>
      <c r="C412" t="s">
        <v>145</v>
      </c>
      <c r="D412" t="s">
        <v>513</v>
      </c>
      <c r="E412" t="s">
        <v>183</v>
      </c>
    </row>
    <row r="413" spans="1:5" x14ac:dyDescent="0.35">
      <c r="A413" t="s">
        <v>503</v>
      </c>
      <c r="B413" t="s">
        <v>596</v>
      </c>
      <c r="C413" t="s">
        <v>207</v>
      </c>
      <c r="D413" t="s">
        <v>513</v>
      </c>
      <c r="E413" t="s">
        <v>183</v>
      </c>
    </row>
    <row r="414" spans="1:5" x14ac:dyDescent="0.35">
      <c r="A414" t="s">
        <v>503</v>
      </c>
      <c r="B414" t="s">
        <v>597</v>
      </c>
      <c r="C414" t="s">
        <v>145</v>
      </c>
      <c r="D414" t="s">
        <v>513</v>
      </c>
      <c r="E414" t="s">
        <v>183</v>
      </c>
    </row>
    <row r="415" spans="1:5" x14ac:dyDescent="0.35">
      <c r="A415" t="s">
        <v>503</v>
      </c>
      <c r="B415" t="s">
        <v>598</v>
      </c>
      <c r="C415" t="s">
        <v>145</v>
      </c>
      <c r="D415" t="s">
        <v>513</v>
      </c>
      <c r="E415" t="s">
        <v>183</v>
      </c>
    </row>
    <row r="416" spans="1:5" x14ac:dyDescent="0.35">
      <c r="A416" t="s">
        <v>503</v>
      </c>
      <c r="B416" t="s">
        <v>599</v>
      </c>
      <c r="C416" t="s">
        <v>145</v>
      </c>
      <c r="D416" t="s">
        <v>513</v>
      </c>
      <c r="E416" t="s">
        <v>183</v>
      </c>
    </row>
    <row r="417" spans="1:5" x14ac:dyDescent="0.35">
      <c r="A417" t="s">
        <v>503</v>
      </c>
      <c r="B417" t="s">
        <v>600</v>
      </c>
      <c r="C417" t="s">
        <v>145</v>
      </c>
      <c r="D417" t="s">
        <v>513</v>
      </c>
      <c r="E417" t="s">
        <v>189</v>
      </c>
    </row>
    <row r="418" spans="1:5" x14ac:dyDescent="0.35">
      <c r="A418" t="s">
        <v>503</v>
      </c>
      <c r="B418" t="s">
        <v>601</v>
      </c>
      <c r="C418" t="s">
        <v>207</v>
      </c>
      <c r="D418" t="s">
        <v>513</v>
      </c>
      <c r="E418" t="s">
        <v>189</v>
      </c>
    </row>
    <row r="419" spans="1:5" x14ac:dyDescent="0.35">
      <c r="A419" t="s">
        <v>503</v>
      </c>
      <c r="B419" t="s">
        <v>602</v>
      </c>
      <c r="C419" t="s">
        <v>145</v>
      </c>
      <c r="D419" t="s">
        <v>513</v>
      </c>
      <c r="E419" t="s">
        <v>189</v>
      </c>
    </row>
    <row r="420" spans="1:5" x14ac:dyDescent="0.35">
      <c r="A420" t="s">
        <v>503</v>
      </c>
      <c r="B420" t="s">
        <v>603</v>
      </c>
      <c r="C420" t="s">
        <v>145</v>
      </c>
      <c r="D420" t="s">
        <v>513</v>
      </c>
      <c r="E420" t="s">
        <v>189</v>
      </c>
    </row>
    <row r="421" spans="1:5" x14ac:dyDescent="0.35">
      <c r="A421" t="s">
        <v>503</v>
      </c>
      <c r="B421" t="s">
        <v>604</v>
      </c>
      <c r="C421" t="s">
        <v>145</v>
      </c>
      <c r="D421" t="s">
        <v>513</v>
      </c>
      <c r="E421" t="s">
        <v>189</v>
      </c>
    </row>
    <row r="422" spans="1:5" x14ac:dyDescent="0.35">
      <c r="A422" t="s">
        <v>503</v>
      </c>
      <c r="B422" t="s">
        <v>605</v>
      </c>
      <c r="C422" t="s">
        <v>145</v>
      </c>
      <c r="D422" t="s">
        <v>513</v>
      </c>
      <c r="E422" t="s">
        <v>301</v>
      </c>
    </row>
    <row r="423" spans="1:5" x14ac:dyDescent="0.35">
      <c r="A423" t="s">
        <v>503</v>
      </c>
      <c r="B423" t="s">
        <v>606</v>
      </c>
      <c r="C423" t="s">
        <v>145</v>
      </c>
      <c r="D423" t="s">
        <v>513</v>
      </c>
      <c r="E423" t="s">
        <v>301</v>
      </c>
    </row>
    <row r="424" spans="1:5" x14ac:dyDescent="0.35">
      <c r="A424" t="s">
        <v>503</v>
      </c>
      <c r="B424" t="s">
        <v>607</v>
      </c>
      <c r="C424" t="s">
        <v>145</v>
      </c>
      <c r="D424" t="s">
        <v>513</v>
      </c>
      <c r="E424" t="s">
        <v>191</v>
      </c>
    </row>
    <row r="425" spans="1:5" x14ac:dyDescent="0.35">
      <c r="A425" t="s">
        <v>503</v>
      </c>
      <c r="B425" t="s">
        <v>608</v>
      </c>
      <c r="C425" t="s">
        <v>145</v>
      </c>
      <c r="D425" t="s">
        <v>513</v>
      </c>
      <c r="E425" t="s">
        <v>191</v>
      </c>
    </row>
    <row r="426" spans="1:5" x14ac:dyDescent="0.35">
      <c r="A426" t="s">
        <v>503</v>
      </c>
      <c r="B426" t="s">
        <v>609</v>
      </c>
      <c r="C426" t="s">
        <v>145</v>
      </c>
      <c r="D426" t="s">
        <v>513</v>
      </c>
      <c r="E426" t="s">
        <v>191</v>
      </c>
    </row>
    <row r="427" spans="1:5" x14ac:dyDescent="0.35">
      <c r="A427" t="s">
        <v>503</v>
      </c>
      <c r="B427" t="s">
        <v>610</v>
      </c>
      <c r="C427" t="s">
        <v>145</v>
      </c>
      <c r="D427" t="s">
        <v>513</v>
      </c>
      <c r="E427" t="s">
        <v>191</v>
      </c>
    </row>
    <row r="428" spans="1:5" x14ac:dyDescent="0.35">
      <c r="A428" t="s">
        <v>503</v>
      </c>
      <c r="B428" t="s">
        <v>611</v>
      </c>
      <c r="C428" t="s">
        <v>145</v>
      </c>
      <c r="D428" t="s">
        <v>513</v>
      </c>
      <c r="E428" t="s">
        <v>191</v>
      </c>
    </row>
    <row r="429" spans="1:5" x14ac:dyDescent="0.35">
      <c r="A429" t="s">
        <v>503</v>
      </c>
      <c r="B429" t="s">
        <v>612</v>
      </c>
      <c r="C429" t="s">
        <v>207</v>
      </c>
      <c r="D429" t="s">
        <v>513</v>
      </c>
      <c r="E429" t="s">
        <v>191</v>
      </c>
    </row>
    <row r="430" spans="1:5" x14ac:dyDescent="0.35">
      <c r="A430" t="s">
        <v>503</v>
      </c>
      <c r="B430" t="s">
        <v>613</v>
      </c>
      <c r="C430" t="s">
        <v>145</v>
      </c>
      <c r="D430" t="s">
        <v>513</v>
      </c>
      <c r="E430" t="s">
        <v>191</v>
      </c>
    </row>
    <row r="431" spans="1:5" x14ac:dyDescent="0.35">
      <c r="A431" t="s">
        <v>503</v>
      </c>
      <c r="B431" t="s">
        <v>614</v>
      </c>
      <c r="C431" t="s">
        <v>207</v>
      </c>
      <c r="D431" t="s">
        <v>513</v>
      </c>
      <c r="E431" t="s">
        <v>191</v>
      </c>
    </row>
    <row r="432" spans="1:5" x14ac:dyDescent="0.35">
      <c r="A432" t="s">
        <v>503</v>
      </c>
      <c r="B432" t="s">
        <v>615</v>
      </c>
      <c r="C432" t="s">
        <v>145</v>
      </c>
      <c r="D432" t="s">
        <v>513</v>
      </c>
      <c r="E432" t="s">
        <v>191</v>
      </c>
    </row>
    <row r="433" spans="1:5" x14ac:dyDescent="0.35">
      <c r="A433" t="s">
        <v>503</v>
      </c>
      <c r="B433" t="s">
        <v>616</v>
      </c>
      <c r="C433" t="s">
        <v>145</v>
      </c>
      <c r="D433" t="s">
        <v>513</v>
      </c>
      <c r="E433" t="s">
        <v>196</v>
      </c>
    </row>
    <row r="434" spans="1:5" x14ac:dyDescent="0.35">
      <c r="A434" t="s">
        <v>503</v>
      </c>
      <c r="B434" t="s">
        <v>617</v>
      </c>
      <c r="C434" t="s">
        <v>207</v>
      </c>
      <c r="D434" t="s">
        <v>618</v>
      </c>
      <c r="E434" t="s">
        <v>143</v>
      </c>
    </row>
    <row r="435" spans="1:5" x14ac:dyDescent="0.35">
      <c r="A435" t="s">
        <v>503</v>
      </c>
      <c r="B435" t="s">
        <v>619</v>
      </c>
      <c r="C435" t="s">
        <v>207</v>
      </c>
      <c r="D435" t="s">
        <v>618</v>
      </c>
      <c r="E435" t="s">
        <v>143</v>
      </c>
    </row>
    <row r="436" spans="1:5" x14ac:dyDescent="0.35">
      <c r="A436" t="s">
        <v>503</v>
      </c>
      <c r="B436" t="s">
        <v>620</v>
      </c>
      <c r="C436" t="s">
        <v>207</v>
      </c>
      <c r="D436" t="s">
        <v>618</v>
      </c>
      <c r="E436" t="s">
        <v>143</v>
      </c>
    </row>
    <row r="437" spans="1:5" x14ac:dyDescent="0.35">
      <c r="A437" t="s">
        <v>503</v>
      </c>
      <c r="B437" t="s">
        <v>621</v>
      </c>
      <c r="C437" t="s">
        <v>207</v>
      </c>
      <c r="D437" t="s">
        <v>618</v>
      </c>
      <c r="E437" t="s">
        <v>156</v>
      </c>
    </row>
    <row r="438" spans="1:5" x14ac:dyDescent="0.35">
      <c r="A438" t="s">
        <v>503</v>
      </c>
      <c r="B438" t="s">
        <v>622</v>
      </c>
      <c r="C438" t="s">
        <v>207</v>
      </c>
      <c r="D438" t="s">
        <v>618</v>
      </c>
      <c r="E438" t="s">
        <v>162</v>
      </c>
    </row>
    <row r="439" spans="1:5" x14ac:dyDescent="0.35">
      <c r="A439" t="s">
        <v>503</v>
      </c>
      <c r="B439" t="s">
        <v>623</v>
      </c>
      <c r="C439" t="s">
        <v>145</v>
      </c>
      <c r="D439" t="s">
        <v>618</v>
      </c>
      <c r="E439" t="s">
        <v>170</v>
      </c>
    </row>
    <row r="440" spans="1:5" x14ac:dyDescent="0.35">
      <c r="A440" t="s">
        <v>503</v>
      </c>
      <c r="B440" t="s">
        <v>624</v>
      </c>
      <c r="C440" t="s">
        <v>217</v>
      </c>
      <c r="D440" t="s">
        <v>618</v>
      </c>
      <c r="E440" t="s">
        <v>170</v>
      </c>
    </row>
    <row r="441" spans="1:5" x14ac:dyDescent="0.35">
      <c r="A441" t="s">
        <v>503</v>
      </c>
      <c r="B441" t="s">
        <v>625</v>
      </c>
      <c r="C441" t="s">
        <v>145</v>
      </c>
      <c r="D441" t="s">
        <v>618</v>
      </c>
      <c r="E441" t="s">
        <v>170</v>
      </c>
    </row>
    <row r="442" spans="1:5" x14ac:dyDescent="0.35">
      <c r="A442" t="s">
        <v>503</v>
      </c>
      <c r="B442" t="s">
        <v>626</v>
      </c>
      <c r="C442" t="s">
        <v>145</v>
      </c>
      <c r="D442" t="s">
        <v>618</v>
      </c>
      <c r="E442" t="s">
        <v>173</v>
      </c>
    </row>
    <row r="443" spans="1:5" x14ac:dyDescent="0.35">
      <c r="A443" t="s">
        <v>503</v>
      </c>
      <c r="B443" t="s">
        <v>627</v>
      </c>
      <c r="C443" t="s">
        <v>145</v>
      </c>
      <c r="D443" t="s">
        <v>618</v>
      </c>
      <c r="E443" t="s">
        <v>173</v>
      </c>
    </row>
    <row r="444" spans="1:5" x14ac:dyDescent="0.35">
      <c r="A444" t="s">
        <v>503</v>
      </c>
      <c r="B444" t="s">
        <v>628</v>
      </c>
      <c r="C444" t="s">
        <v>207</v>
      </c>
      <c r="D444" t="s">
        <v>618</v>
      </c>
      <c r="E444" t="s">
        <v>178</v>
      </c>
    </row>
    <row r="445" spans="1:5" x14ac:dyDescent="0.35">
      <c r="A445" t="s">
        <v>503</v>
      </c>
      <c r="B445" t="s">
        <v>629</v>
      </c>
      <c r="C445" t="s">
        <v>217</v>
      </c>
      <c r="D445" t="s">
        <v>618</v>
      </c>
      <c r="E445" t="s">
        <v>178</v>
      </c>
    </row>
    <row r="446" spans="1:5" x14ac:dyDescent="0.35">
      <c r="A446" t="s">
        <v>503</v>
      </c>
      <c r="B446" t="s">
        <v>630</v>
      </c>
      <c r="C446" t="s">
        <v>207</v>
      </c>
      <c r="D446" t="s">
        <v>618</v>
      </c>
      <c r="E446" t="s">
        <v>178</v>
      </c>
    </row>
    <row r="447" spans="1:5" x14ac:dyDescent="0.35">
      <c r="A447" t="s">
        <v>503</v>
      </c>
      <c r="B447" t="s">
        <v>631</v>
      </c>
      <c r="C447" t="s">
        <v>207</v>
      </c>
      <c r="D447" t="s">
        <v>618</v>
      </c>
      <c r="E447" t="s">
        <v>183</v>
      </c>
    </row>
    <row r="448" spans="1:5" x14ac:dyDescent="0.35">
      <c r="A448" t="s">
        <v>503</v>
      </c>
      <c r="B448" t="s">
        <v>632</v>
      </c>
      <c r="C448" t="s">
        <v>207</v>
      </c>
      <c r="D448" t="s">
        <v>618</v>
      </c>
      <c r="E448" t="s">
        <v>189</v>
      </c>
    </row>
    <row r="449" spans="1:5" x14ac:dyDescent="0.35">
      <c r="A449" t="s">
        <v>503</v>
      </c>
      <c r="B449" t="s">
        <v>633</v>
      </c>
      <c r="C449" t="s">
        <v>207</v>
      </c>
      <c r="D449" t="s">
        <v>618</v>
      </c>
      <c r="E449" t="s">
        <v>301</v>
      </c>
    </row>
    <row r="450" spans="1:5" x14ac:dyDescent="0.35">
      <c r="A450" t="s">
        <v>503</v>
      </c>
      <c r="B450" t="s">
        <v>634</v>
      </c>
      <c r="C450" t="s">
        <v>145</v>
      </c>
      <c r="D450" t="s">
        <v>618</v>
      </c>
      <c r="E450" t="s">
        <v>191</v>
      </c>
    </row>
    <row r="451" spans="1:5" x14ac:dyDescent="0.35">
      <c r="A451" t="s">
        <v>503</v>
      </c>
      <c r="B451" t="s">
        <v>635</v>
      </c>
      <c r="C451" t="s">
        <v>207</v>
      </c>
      <c r="D451" t="s">
        <v>618</v>
      </c>
      <c r="E451" t="s">
        <v>196</v>
      </c>
    </row>
    <row r="452" spans="1:5" x14ac:dyDescent="0.35">
      <c r="A452" t="s">
        <v>636</v>
      </c>
      <c r="B452" t="s">
        <v>637</v>
      </c>
      <c r="C452" t="s">
        <v>217</v>
      </c>
      <c r="D452" t="s">
        <v>142</v>
      </c>
      <c r="E452" t="s">
        <v>143</v>
      </c>
    </row>
    <row r="453" spans="1:5" x14ac:dyDescent="0.35">
      <c r="A453" t="s">
        <v>636</v>
      </c>
      <c r="B453" t="s">
        <v>638</v>
      </c>
      <c r="C453" t="s">
        <v>141</v>
      </c>
      <c r="D453" t="s">
        <v>142</v>
      </c>
      <c r="E453" t="s">
        <v>149</v>
      </c>
    </row>
    <row r="454" spans="1:5" x14ac:dyDescent="0.35">
      <c r="A454" t="s">
        <v>636</v>
      </c>
      <c r="B454" t="s">
        <v>639</v>
      </c>
      <c r="C454" t="s">
        <v>145</v>
      </c>
      <c r="D454" t="s">
        <v>142</v>
      </c>
      <c r="E454" t="s">
        <v>153</v>
      </c>
    </row>
    <row r="455" spans="1:5" x14ac:dyDescent="0.35">
      <c r="A455" t="s">
        <v>636</v>
      </c>
      <c r="B455" t="s">
        <v>640</v>
      </c>
      <c r="C455" t="s">
        <v>145</v>
      </c>
      <c r="D455" t="s">
        <v>142</v>
      </c>
      <c r="E455" t="s">
        <v>162</v>
      </c>
    </row>
    <row r="456" spans="1:5" x14ac:dyDescent="0.35">
      <c r="A456" t="s">
        <v>636</v>
      </c>
      <c r="B456" t="s">
        <v>641</v>
      </c>
      <c r="C456" t="s">
        <v>145</v>
      </c>
      <c r="D456" t="s">
        <v>142</v>
      </c>
      <c r="E456" t="s">
        <v>162</v>
      </c>
    </row>
    <row r="457" spans="1:5" x14ac:dyDescent="0.35">
      <c r="A457" t="s">
        <v>636</v>
      </c>
      <c r="B457" t="s">
        <v>642</v>
      </c>
      <c r="C457" t="s">
        <v>145</v>
      </c>
      <c r="D457" t="s">
        <v>142</v>
      </c>
      <c r="E457" t="s">
        <v>162</v>
      </c>
    </row>
    <row r="458" spans="1:5" x14ac:dyDescent="0.35">
      <c r="A458" t="s">
        <v>636</v>
      </c>
      <c r="B458" t="s">
        <v>643</v>
      </c>
      <c r="C458" t="s">
        <v>145</v>
      </c>
      <c r="D458" t="s">
        <v>142</v>
      </c>
      <c r="E458" t="s">
        <v>167</v>
      </c>
    </row>
    <row r="459" spans="1:5" x14ac:dyDescent="0.35">
      <c r="A459" t="s">
        <v>636</v>
      </c>
      <c r="B459" t="s">
        <v>644</v>
      </c>
      <c r="C459" t="s">
        <v>145</v>
      </c>
      <c r="D459" t="s">
        <v>142</v>
      </c>
      <c r="E459" t="s">
        <v>167</v>
      </c>
    </row>
    <row r="460" spans="1:5" x14ac:dyDescent="0.35">
      <c r="A460" t="s">
        <v>636</v>
      </c>
      <c r="B460" t="s">
        <v>645</v>
      </c>
      <c r="C460" t="s">
        <v>145</v>
      </c>
      <c r="D460" t="s">
        <v>142</v>
      </c>
      <c r="E460" t="s">
        <v>167</v>
      </c>
    </row>
    <row r="461" spans="1:5" x14ac:dyDescent="0.35">
      <c r="A461" t="s">
        <v>636</v>
      </c>
      <c r="B461" t="s">
        <v>646</v>
      </c>
      <c r="C461" t="s">
        <v>145</v>
      </c>
      <c r="D461" t="s">
        <v>142</v>
      </c>
      <c r="E461" t="s">
        <v>167</v>
      </c>
    </row>
    <row r="462" spans="1:5" x14ac:dyDescent="0.35">
      <c r="A462" t="s">
        <v>636</v>
      </c>
      <c r="B462" t="s">
        <v>647</v>
      </c>
      <c r="C462" t="s">
        <v>145</v>
      </c>
      <c r="D462" t="s">
        <v>142</v>
      </c>
      <c r="E462" t="s">
        <v>170</v>
      </c>
    </row>
    <row r="463" spans="1:5" x14ac:dyDescent="0.35">
      <c r="A463" t="s">
        <v>636</v>
      </c>
      <c r="B463" t="s">
        <v>648</v>
      </c>
      <c r="C463" t="s">
        <v>217</v>
      </c>
      <c r="D463" t="s">
        <v>142</v>
      </c>
      <c r="E463" t="s">
        <v>170</v>
      </c>
    </row>
    <row r="464" spans="1:5" x14ac:dyDescent="0.35">
      <c r="A464" t="s">
        <v>636</v>
      </c>
      <c r="B464" t="s">
        <v>649</v>
      </c>
      <c r="C464" t="s">
        <v>145</v>
      </c>
      <c r="D464" t="s">
        <v>142</v>
      </c>
      <c r="E464" t="s">
        <v>170</v>
      </c>
    </row>
    <row r="465" spans="1:5" x14ac:dyDescent="0.35">
      <c r="A465" t="s">
        <v>636</v>
      </c>
      <c r="B465" t="s">
        <v>650</v>
      </c>
      <c r="C465" t="s">
        <v>145</v>
      </c>
      <c r="D465" t="s">
        <v>142</v>
      </c>
      <c r="E465" t="s">
        <v>173</v>
      </c>
    </row>
    <row r="466" spans="1:5" x14ac:dyDescent="0.35">
      <c r="A466" t="s">
        <v>636</v>
      </c>
      <c r="B466" t="s">
        <v>651</v>
      </c>
      <c r="C466" t="s">
        <v>217</v>
      </c>
      <c r="D466" t="s">
        <v>142</v>
      </c>
      <c r="E466" t="s">
        <v>178</v>
      </c>
    </row>
    <row r="467" spans="1:5" x14ac:dyDescent="0.35">
      <c r="A467" t="s">
        <v>636</v>
      </c>
      <c r="B467" t="s">
        <v>652</v>
      </c>
      <c r="C467" t="s">
        <v>217</v>
      </c>
      <c r="D467" t="s">
        <v>142</v>
      </c>
      <c r="E467" t="s">
        <v>178</v>
      </c>
    </row>
    <row r="468" spans="1:5" x14ac:dyDescent="0.35">
      <c r="A468" t="s">
        <v>636</v>
      </c>
      <c r="B468" t="s">
        <v>653</v>
      </c>
      <c r="C468" t="s">
        <v>145</v>
      </c>
      <c r="D468" t="s">
        <v>142</v>
      </c>
      <c r="E468" t="s">
        <v>183</v>
      </c>
    </row>
    <row r="469" spans="1:5" x14ac:dyDescent="0.35">
      <c r="A469" t="s">
        <v>636</v>
      </c>
      <c r="B469" t="s">
        <v>654</v>
      </c>
      <c r="C469" t="s">
        <v>141</v>
      </c>
      <c r="D469" t="s">
        <v>142</v>
      </c>
      <c r="E469" t="s">
        <v>183</v>
      </c>
    </row>
    <row r="470" spans="1:5" x14ac:dyDescent="0.35">
      <c r="A470" t="s">
        <v>636</v>
      </c>
      <c r="B470" t="s">
        <v>655</v>
      </c>
      <c r="C470" t="s">
        <v>141</v>
      </c>
      <c r="D470" t="s">
        <v>142</v>
      </c>
      <c r="E470" t="s">
        <v>301</v>
      </c>
    </row>
    <row r="471" spans="1:5" x14ac:dyDescent="0.35">
      <c r="A471" t="s">
        <v>636</v>
      </c>
      <c r="B471" t="s">
        <v>656</v>
      </c>
      <c r="C471" t="s">
        <v>141</v>
      </c>
      <c r="D471" t="s">
        <v>142</v>
      </c>
      <c r="E471" t="s">
        <v>301</v>
      </c>
    </row>
    <row r="472" spans="1:5" x14ac:dyDescent="0.35">
      <c r="A472" t="s">
        <v>636</v>
      </c>
      <c r="B472" t="s">
        <v>657</v>
      </c>
      <c r="C472" t="s">
        <v>141</v>
      </c>
      <c r="D472" t="s">
        <v>142</v>
      </c>
      <c r="E472" t="s">
        <v>301</v>
      </c>
    </row>
    <row r="473" spans="1:5" x14ac:dyDescent="0.35">
      <c r="A473" t="s">
        <v>636</v>
      </c>
      <c r="B473" t="s">
        <v>658</v>
      </c>
      <c r="C473" t="s">
        <v>141</v>
      </c>
      <c r="D473" t="s">
        <v>142</v>
      </c>
      <c r="E473" t="s">
        <v>301</v>
      </c>
    </row>
    <row r="474" spans="1:5" x14ac:dyDescent="0.35">
      <c r="A474" t="s">
        <v>636</v>
      </c>
      <c r="B474" t="s">
        <v>659</v>
      </c>
      <c r="C474" t="s">
        <v>141</v>
      </c>
      <c r="D474" t="s">
        <v>142</v>
      </c>
      <c r="E474" t="s">
        <v>301</v>
      </c>
    </row>
    <row r="475" spans="1:5" x14ac:dyDescent="0.35">
      <c r="A475" t="s">
        <v>636</v>
      </c>
      <c r="B475" t="s">
        <v>660</v>
      </c>
      <c r="C475" t="s">
        <v>336</v>
      </c>
      <c r="D475" t="s">
        <v>142</v>
      </c>
      <c r="E475" t="s">
        <v>301</v>
      </c>
    </row>
    <row r="476" spans="1:5" x14ac:dyDescent="0.35">
      <c r="A476" t="s">
        <v>636</v>
      </c>
      <c r="B476" t="s">
        <v>661</v>
      </c>
      <c r="C476" t="s">
        <v>141</v>
      </c>
      <c r="D476" t="s">
        <v>142</v>
      </c>
      <c r="E476" t="s">
        <v>301</v>
      </c>
    </row>
    <row r="477" spans="1:5" x14ac:dyDescent="0.35">
      <c r="A477" t="s">
        <v>636</v>
      </c>
      <c r="B477" t="s">
        <v>662</v>
      </c>
      <c r="C477" t="s">
        <v>141</v>
      </c>
      <c r="D477" t="s">
        <v>142</v>
      </c>
      <c r="E477" t="s">
        <v>301</v>
      </c>
    </row>
    <row r="478" spans="1:5" x14ac:dyDescent="0.35">
      <c r="A478" t="s">
        <v>636</v>
      </c>
      <c r="B478" t="s">
        <v>663</v>
      </c>
      <c r="C478" t="s">
        <v>145</v>
      </c>
      <c r="D478" t="s">
        <v>142</v>
      </c>
      <c r="E478" t="s">
        <v>191</v>
      </c>
    </row>
    <row r="479" spans="1:5" x14ac:dyDescent="0.35">
      <c r="A479" t="s">
        <v>636</v>
      </c>
      <c r="B479" t="s">
        <v>664</v>
      </c>
      <c r="C479" t="s">
        <v>145</v>
      </c>
      <c r="D479" t="s">
        <v>142</v>
      </c>
      <c r="E479" t="s">
        <v>191</v>
      </c>
    </row>
    <row r="480" spans="1:5" x14ac:dyDescent="0.35">
      <c r="A480" t="s">
        <v>636</v>
      </c>
      <c r="B480" t="s">
        <v>665</v>
      </c>
      <c r="C480" t="s">
        <v>145</v>
      </c>
      <c r="D480" t="s">
        <v>354</v>
      </c>
      <c r="E480" t="s">
        <v>153</v>
      </c>
    </row>
    <row r="481" spans="1:5" x14ac:dyDescent="0.35">
      <c r="A481" t="s">
        <v>636</v>
      </c>
      <c r="B481" t="s">
        <v>666</v>
      </c>
      <c r="C481" t="s">
        <v>145</v>
      </c>
      <c r="D481" t="s">
        <v>354</v>
      </c>
      <c r="E481" t="s">
        <v>162</v>
      </c>
    </row>
    <row r="482" spans="1:5" x14ac:dyDescent="0.35">
      <c r="A482" t="s">
        <v>636</v>
      </c>
      <c r="B482" t="s">
        <v>667</v>
      </c>
      <c r="C482" t="s">
        <v>145</v>
      </c>
      <c r="D482" t="s">
        <v>354</v>
      </c>
      <c r="E482" t="s">
        <v>162</v>
      </c>
    </row>
    <row r="483" spans="1:5" x14ac:dyDescent="0.35">
      <c r="A483" t="s">
        <v>636</v>
      </c>
      <c r="B483" t="s">
        <v>668</v>
      </c>
      <c r="C483" t="s">
        <v>145</v>
      </c>
      <c r="D483" t="s">
        <v>354</v>
      </c>
      <c r="E483" t="s">
        <v>162</v>
      </c>
    </row>
    <row r="484" spans="1:5" x14ac:dyDescent="0.35">
      <c r="A484" t="s">
        <v>636</v>
      </c>
      <c r="B484" t="s">
        <v>669</v>
      </c>
      <c r="C484" t="s">
        <v>145</v>
      </c>
      <c r="D484" t="s">
        <v>354</v>
      </c>
      <c r="E484" t="s">
        <v>162</v>
      </c>
    </row>
    <row r="485" spans="1:5" x14ac:dyDescent="0.35">
      <c r="A485" t="s">
        <v>636</v>
      </c>
      <c r="B485" t="s">
        <v>670</v>
      </c>
      <c r="C485" t="s">
        <v>145</v>
      </c>
      <c r="D485" t="s">
        <v>354</v>
      </c>
      <c r="E485" t="s">
        <v>162</v>
      </c>
    </row>
    <row r="486" spans="1:5" x14ac:dyDescent="0.35">
      <c r="A486" t="s">
        <v>636</v>
      </c>
      <c r="B486" t="s">
        <v>671</v>
      </c>
      <c r="C486" t="s">
        <v>145</v>
      </c>
      <c r="D486" t="s">
        <v>354</v>
      </c>
      <c r="E486" t="s">
        <v>162</v>
      </c>
    </row>
    <row r="487" spans="1:5" x14ac:dyDescent="0.35">
      <c r="A487" t="s">
        <v>636</v>
      </c>
      <c r="B487" t="s">
        <v>672</v>
      </c>
      <c r="C487" t="s">
        <v>145</v>
      </c>
      <c r="D487" t="s">
        <v>354</v>
      </c>
      <c r="E487" t="s">
        <v>167</v>
      </c>
    </row>
    <row r="488" spans="1:5" x14ac:dyDescent="0.35">
      <c r="A488" t="s">
        <v>636</v>
      </c>
      <c r="B488" t="s">
        <v>673</v>
      </c>
      <c r="C488" t="s">
        <v>145</v>
      </c>
      <c r="D488" t="s">
        <v>354</v>
      </c>
      <c r="E488" t="s">
        <v>183</v>
      </c>
    </row>
    <row r="489" spans="1:5" x14ac:dyDescent="0.35">
      <c r="A489" t="s">
        <v>636</v>
      </c>
      <c r="B489" t="s">
        <v>674</v>
      </c>
      <c r="C489" t="s">
        <v>145</v>
      </c>
      <c r="D489" t="s">
        <v>354</v>
      </c>
      <c r="E489" t="s">
        <v>196</v>
      </c>
    </row>
    <row r="490" spans="1:5" x14ac:dyDescent="0.35">
      <c r="A490" t="s">
        <v>636</v>
      </c>
      <c r="B490" t="s">
        <v>675</v>
      </c>
      <c r="C490" t="s">
        <v>239</v>
      </c>
      <c r="D490" t="s">
        <v>361</v>
      </c>
      <c r="E490" t="s">
        <v>156</v>
      </c>
    </row>
    <row r="491" spans="1:5" x14ac:dyDescent="0.35">
      <c r="A491" t="s">
        <v>636</v>
      </c>
      <c r="B491" t="s">
        <v>676</v>
      </c>
      <c r="C491" t="s">
        <v>145</v>
      </c>
      <c r="D491" t="s">
        <v>361</v>
      </c>
      <c r="E491" t="s">
        <v>162</v>
      </c>
    </row>
    <row r="492" spans="1:5" x14ac:dyDescent="0.35">
      <c r="A492" t="s">
        <v>636</v>
      </c>
      <c r="B492" t="s">
        <v>677</v>
      </c>
      <c r="C492" t="s">
        <v>145</v>
      </c>
      <c r="D492" t="s">
        <v>361</v>
      </c>
      <c r="E492" t="s">
        <v>183</v>
      </c>
    </row>
    <row r="493" spans="1:5" x14ac:dyDescent="0.35">
      <c r="A493" t="s">
        <v>636</v>
      </c>
      <c r="B493" t="s">
        <v>678</v>
      </c>
      <c r="C493" t="s">
        <v>141</v>
      </c>
      <c r="D493" t="s">
        <v>361</v>
      </c>
      <c r="E493" t="s">
        <v>196</v>
      </c>
    </row>
    <row r="494" spans="1:5" x14ac:dyDescent="0.35">
      <c r="A494" t="s">
        <v>636</v>
      </c>
      <c r="B494" t="s">
        <v>679</v>
      </c>
      <c r="C494" t="s">
        <v>145</v>
      </c>
      <c r="D494" t="s">
        <v>505</v>
      </c>
      <c r="E494" t="s">
        <v>214</v>
      </c>
    </row>
    <row r="495" spans="1:5" x14ac:dyDescent="0.35">
      <c r="A495" t="s">
        <v>636</v>
      </c>
      <c r="B495" t="s">
        <v>680</v>
      </c>
      <c r="C495" t="s">
        <v>207</v>
      </c>
      <c r="D495" t="s">
        <v>505</v>
      </c>
      <c r="E495" t="s">
        <v>153</v>
      </c>
    </row>
    <row r="496" spans="1:5" x14ac:dyDescent="0.35">
      <c r="A496" t="s">
        <v>636</v>
      </c>
      <c r="B496" t="s">
        <v>681</v>
      </c>
      <c r="C496" t="s">
        <v>145</v>
      </c>
      <c r="D496" t="s">
        <v>505</v>
      </c>
      <c r="E496" t="s">
        <v>156</v>
      </c>
    </row>
    <row r="497" spans="1:5" x14ac:dyDescent="0.35">
      <c r="A497" t="s">
        <v>636</v>
      </c>
      <c r="B497" t="s">
        <v>682</v>
      </c>
      <c r="C497" t="s">
        <v>145</v>
      </c>
      <c r="D497" t="s">
        <v>505</v>
      </c>
      <c r="E497" t="s">
        <v>162</v>
      </c>
    </row>
    <row r="498" spans="1:5" x14ac:dyDescent="0.35">
      <c r="A498" t="s">
        <v>636</v>
      </c>
      <c r="B498" t="s">
        <v>683</v>
      </c>
      <c r="C498" t="s">
        <v>145</v>
      </c>
      <c r="D498" t="s">
        <v>505</v>
      </c>
      <c r="E498" t="s">
        <v>162</v>
      </c>
    </row>
    <row r="499" spans="1:5" x14ac:dyDescent="0.35">
      <c r="A499" t="s">
        <v>636</v>
      </c>
      <c r="B499" t="s">
        <v>684</v>
      </c>
      <c r="C499" t="s">
        <v>207</v>
      </c>
      <c r="D499" t="s">
        <v>505</v>
      </c>
      <c r="E499" t="s">
        <v>165</v>
      </c>
    </row>
    <row r="500" spans="1:5" x14ac:dyDescent="0.35">
      <c r="A500" t="s">
        <v>636</v>
      </c>
      <c r="B500" t="s">
        <v>685</v>
      </c>
      <c r="C500" t="s">
        <v>145</v>
      </c>
      <c r="D500" t="s">
        <v>505</v>
      </c>
      <c r="E500" t="s">
        <v>170</v>
      </c>
    </row>
    <row r="501" spans="1:5" x14ac:dyDescent="0.35">
      <c r="A501" t="s">
        <v>636</v>
      </c>
      <c r="B501" t="s">
        <v>686</v>
      </c>
      <c r="C501" t="s">
        <v>145</v>
      </c>
      <c r="D501" t="s">
        <v>505</v>
      </c>
      <c r="E501" t="s">
        <v>183</v>
      </c>
    </row>
    <row r="502" spans="1:5" x14ac:dyDescent="0.35">
      <c r="A502" t="s">
        <v>636</v>
      </c>
      <c r="B502" t="s">
        <v>687</v>
      </c>
      <c r="C502" t="s">
        <v>145</v>
      </c>
      <c r="D502" t="s">
        <v>505</v>
      </c>
      <c r="E502" t="s">
        <v>143</v>
      </c>
    </row>
    <row r="503" spans="1:5" x14ac:dyDescent="0.35">
      <c r="A503" t="s">
        <v>636</v>
      </c>
      <c r="B503" t="s">
        <v>688</v>
      </c>
      <c r="C503" t="s">
        <v>141</v>
      </c>
      <c r="D503" t="s">
        <v>689</v>
      </c>
      <c r="E503" t="s">
        <v>143</v>
      </c>
    </row>
    <row r="504" spans="1:5" x14ac:dyDescent="0.35">
      <c r="A504" t="s">
        <v>636</v>
      </c>
      <c r="B504" t="s">
        <v>690</v>
      </c>
      <c r="C504" t="s">
        <v>141</v>
      </c>
      <c r="D504" t="s">
        <v>689</v>
      </c>
      <c r="E504" t="s">
        <v>149</v>
      </c>
    </row>
    <row r="505" spans="1:5" x14ac:dyDescent="0.35">
      <c r="A505" t="s">
        <v>636</v>
      </c>
      <c r="B505" t="s">
        <v>691</v>
      </c>
      <c r="C505" t="s">
        <v>145</v>
      </c>
      <c r="D505" t="s">
        <v>689</v>
      </c>
      <c r="E505" t="s">
        <v>178</v>
      </c>
    </row>
    <row r="506" spans="1:5" x14ac:dyDescent="0.35">
      <c r="A506" t="s">
        <v>636</v>
      </c>
      <c r="B506" t="s">
        <v>692</v>
      </c>
      <c r="C506" t="s">
        <v>693</v>
      </c>
      <c r="D506" t="s">
        <v>689</v>
      </c>
      <c r="E506" t="s">
        <v>162</v>
      </c>
    </row>
    <row r="507" spans="1:5" x14ac:dyDescent="0.35">
      <c r="A507" t="s">
        <v>636</v>
      </c>
      <c r="B507" t="s">
        <v>694</v>
      </c>
      <c r="C507" t="s">
        <v>145</v>
      </c>
      <c r="D507" t="s">
        <v>513</v>
      </c>
      <c r="E507" t="s">
        <v>143</v>
      </c>
    </row>
    <row r="508" spans="1:5" x14ac:dyDescent="0.35">
      <c r="A508" t="s">
        <v>636</v>
      </c>
      <c r="B508" t="s">
        <v>695</v>
      </c>
      <c r="C508" t="s">
        <v>145</v>
      </c>
      <c r="D508" t="s">
        <v>513</v>
      </c>
      <c r="E508" t="s">
        <v>149</v>
      </c>
    </row>
    <row r="509" spans="1:5" x14ac:dyDescent="0.35">
      <c r="A509" t="s">
        <v>636</v>
      </c>
      <c r="B509" t="s">
        <v>696</v>
      </c>
      <c r="C509" t="s">
        <v>145</v>
      </c>
      <c r="D509" t="s">
        <v>513</v>
      </c>
      <c r="E509" t="s">
        <v>153</v>
      </c>
    </row>
    <row r="510" spans="1:5" x14ac:dyDescent="0.35">
      <c r="A510" t="s">
        <v>636</v>
      </c>
      <c r="B510" t="s">
        <v>697</v>
      </c>
      <c r="C510" t="s">
        <v>145</v>
      </c>
      <c r="D510" t="s">
        <v>513</v>
      </c>
      <c r="E510" t="s">
        <v>153</v>
      </c>
    </row>
    <row r="511" spans="1:5" x14ac:dyDescent="0.35">
      <c r="A511" t="s">
        <v>636</v>
      </c>
      <c r="B511" t="s">
        <v>698</v>
      </c>
      <c r="C511" t="s">
        <v>145</v>
      </c>
      <c r="D511" t="s">
        <v>513</v>
      </c>
      <c r="E511" t="s">
        <v>153</v>
      </c>
    </row>
    <row r="512" spans="1:5" x14ac:dyDescent="0.35">
      <c r="A512" t="s">
        <v>636</v>
      </c>
      <c r="B512" t="s">
        <v>699</v>
      </c>
      <c r="C512" t="s">
        <v>145</v>
      </c>
      <c r="D512" t="s">
        <v>513</v>
      </c>
      <c r="E512" t="s">
        <v>153</v>
      </c>
    </row>
    <row r="513" spans="1:5" x14ac:dyDescent="0.35">
      <c r="A513" t="s">
        <v>636</v>
      </c>
      <c r="B513" t="s">
        <v>700</v>
      </c>
      <c r="C513" t="s">
        <v>145</v>
      </c>
      <c r="D513" t="s">
        <v>513</v>
      </c>
      <c r="E513" t="s">
        <v>156</v>
      </c>
    </row>
    <row r="514" spans="1:5" x14ac:dyDescent="0.35">
      <c r="A514" t="s">
        <v>636</v>
      </c>
      <c r="B514" t="s">
        <v>701</v>
      </c>
      <c r="C514" t="s">
        <v>141</v>
      </c>
      <c r="D514" t="s">
        <v>513</v>
      </c>
      <c r="E514" t="s">
        <v>173</v>
      </c>
    </row>
    <row r="515" spans="1:5" x14ac:dyDescent="0.35">
      <c r="A515" t="s">
        <v>636</v>
      </c>
      <c r="B515" t="s">
        <v>702</v>
      </c>
      <c r="C515" t="s">
        <v>145</v>
      </c>
      <c r="D515" t="s">
        <v>513</v>
      </c>
      <c r="E515" t="s">
        <v>178</v>
      </c>
    </row>
    <row r="516" spans="1:5" x14ac:dyDescent="0.35">
      <c r="A516" t="s">
        <v>636</v>
      </c>
      <c r="B516" t="s">
        <v>703</v>
      </c>
      <c r="C516" t="s">
        <v>207</v>
      </c>
      <c r="D516" t="s">
        <v>513</v>
      </c>
      <c r="E516" t="s">
        <v>183</v>
      </c>
    </row>
    <row r="517" spans="1:5" x14ac:dyDescent="0.35">
      <c r="A517" t="s">
        <v>636</v>
      </c>
      <c r="B517" t="s">
        <v>704</v>
      </c>
      <c r="C517" t="s">
        <v>145</v>
      </c>
      <c r="D517" t="s">
        <v>513</v>
      </c>
      <c r="E517" t="s">
        <v>191</v>
      </c>
    </row>
    <row r="518" spans="1:5" x14ac:dyDescent="0.35">
      <c r="A518" t="s">
        <v>636</v>
      </c>
      <c r="B518" t="s">
        <v>705</v>
      </c>
      <c r="C518" t="s">
        <v>145</v>
      </c>
      <c r="D518" t="s">
        <v>706</v>
      </c>
      <c r="E518" t="s">
        <v>170</v>
      </c>
    </row>
    <row r="519" spans="1:5" x14ac:dyDescent="0.35">
      <c r="A519" t="s">
        <v>636</v>
      </c>
      <c r="B519" t="s">
        <v>707</v>
      </c>
      <c r="C519" t="s">
        <v>141</v>
      </c>
      <c r="D519" t="s">
        <v>369</v>
      </c>
      <c r="E519" t="s">
        <v>214</v>
      </c>
    </row>
    <row r="520" spans="1:5" x14ac:dyDescent="0.35">
      <c r="A520" t="s">
        <v>636</v>
      </c>
      <c r="B520" t="s">
        <v>708</v>
      </c>
      <c r="C520" t="s">
        <v>145</v>
      </c>
      <c r="D520" t="s">
        <v>369</v>
      </c>
      <c r="E520" t="s">
        <v>143</v>
      </c>
    </row>
    <row r="521" spans="1:5" x14ac:dyDescent="0.35">
      <c r="A521" t="s">
        <v>636</v>
      </c>
      <c r="B521" t="s">
        <v>709</v>
      </c>
      <c r="C521" t="s">
        <v>207</v>
      </c>
      <c r="D521" t="s">
        <v>369</v>
      </c>
      <c r="E521" t="s">
        <v>143</v>
      </c>
    </row>
    <row r="522" spans="1:5" x14ac:dyDescent="0.35">
      <c r="A522" t="s">
        <v>636</v>
      </c>
      <c r="B522" t="s">
        <v>710</v>
      </c>
      <c r="C522" t="s">
        <v>141</v>
      </c>
      <c r="D522" t="s">
        <v>369</v>
      </c>
      <c r="E522" t="s">
        <v>143</v>
      </c>
    </row>
    <row r="523" spans="1:5" x14ac:dyDescent="0.35">
      <c r="A523" t="s">
        <v>636</v>
      </c>
      <c r="B523" t="s">
        <v>711</v>
      </c>
      <c r="C523" t="s">
        <v>217</v>
      </c>
      <c r="D523" t="s">
        <v>369</v>
      </c>
      <c r="E523" t="s">
        <v>143</v>
      </c>
    </row>
    <row r="524" spans="1:5" x14ac:dyDescent="0.35">
      <c r="A524" t="s">
        <v>636</v>
      </c>
      <c r="B524" t="s">
        <v>712</v>
      </c>
      <c r="C524" t="s">
        <v>141</v>
      </c>
      <c r="D524" t="s">
        <v>369</v>
      </c>
      <c r="E524" t="s">
        <v>143</v>
      </c>
    </row>
    <row r="525" spans="1:5" x14ac:dyDescent="0.35">
      <c r="A525" t="s">
        <v>636</v>
      </c>
      <c r="B525" t="s">
        <v>713</v>
      </c>
      <c r="C525" t="s">
        <v>145</v>
      </c>
      <c r="D525" t="s">
        <v>369</v>
      </c>
      <c r="E525" t="s">
        <v>143</v>
      </c>
    </row>
    <row r="526" spans="1:5" x14ac:dyDescent="0.35">
      <c r="A526" t="s">
        <v>636</v>
      </c>
      <c r="B526" t="s">
        <v>714</v>
      </c>
      <c r="C526" t="s">
        <v>145</v>
      </c>
      <c r="D526" t="s">
        <v>369</v>
      </c>
      <c r="E526" t="s">
        <v>143</v>
      </c>
    </row>
    <row r="527" spans="1:5" x14ac:dyDescent="0.35">
      <c r="A527" t="s">
        <v>636</v>
      </c>
      <c r="B527" t="s">
        <v>715</v>
      </c>
      <c r="C527" t="s">
        <v>239</v>
      </c>
      <c r="D527" t="s">
        <v>369</v>
      </c>
      <c r="E527" t="s">
        <v>143</v>
      </c>
    </row>
    <row r="528" spans="1:5" x14ac:dyDescent="0.35">
      <c r="A528" t="s">
        <v>636</v>
      </c>
      <c r="B528" t="s">
        <v>716</v>
      </c>
      <c r="C528" t="s">
        <v>207</v>
      </c>
      <c r="D528" t="s">
        <v>369</v>
      </c>
      <c r="E528" t="s">
        <v>143</v>
      </c>
    </row>
    <row r="529" spans="1:5" x14ac:dyDescent="0.35">
      <c r="A529" t="s">
        <v>636</v>
      </c>
      <c r="B529" t="s">
        <v>717</v>
      </c>
      <c r="C529" t="s">
        <v>145</v>
      </c>
      <c r="D529" t="s">
        <v>369</v>
      </c>
      <c r="E529" t="s">
        <v>149</v>
      </c>
    </row>
    <row r="530" spans="1:5" x14ac:dyDescent="0.35">
      <c r="A530" t="s">
        <v>636</v>
      </c>
      <c r="B530" t="s">
        <v>718</v>
      </c>
      <c r="C530" t="s">
        <v>145</v>
      </c>
      <c r="D530" t="s">
        <v>369</v>
      </c>
      <c r="E530" t="s">
        <v>149</v>
      </c>
    </row>
    <row r="531" spans="1:5" x14ac:dyDescent="0.35">
      <c r="A531" t="s">
        <v>636</v>
      </c>
      <c r="B531" t="s">
        <v>719</v>
      </c>
      <c r="C531" t="s">
        <v>141</v>
      </c>
      <c r="D531" t="s">
        <v>369</v>
      </c>
      <c r="E531" t="s">
        <v>149</v>
      </c>
    </row>
    <row r="532" spans="1:5" x14ac:dyDescent="0.35">
      <c r="A532" t="s">
        <v>636</v>
      </c>
      <c r="B532" t="s">
        <v>720</v>
      </c>
      <c r="C532" t="s">
        <v>207</v>
      </c>
      <c r="D532" t="s">
        <v>369</v>
      </c>
      <c r="E532" t="s">
        <v>149</v>
      </c>
    </row>
    <row r="533" spans="1:5" x14ac:dyDescent="0.35">
      <c r="A533" t="s">
        <v>636</v>
      </c>
      <c r="B533" t="s">
        <v>721</v>
      </c>
      <c r="C533" t="s">
        <v>217</v>
      </c>
      <c r="D533" t="s">
        <v>369</v>
      </c>
      <c r="E533" t="s">
        <v>149</v>
      </c>
    </row>
    <row r="534" spans="1:5" x14ac:dyDescent="0.35">
      <c r="A534" t="s">
        <v>636</v>
      </c>
      <c r="B534" t="s">
        <v>722</v>
      </c>
      <c r="C534" t="s">
        <v>207</v>
      </c>
      <c r="D534" t="s">
        <v>369</v>
      </c>
      <c r="E534" t="s">
        <v>149</v>
      </c>
    </row>
    <row r="535" spans="1:5" x14ac:dyDescent="0.35">
      <c r="A535" t="s">
        <v>636</v>
      </c>
      <c r="B535" t="s">
        <v>723</v>
      </c>
      <c r="C535" t="s">
        <v>145</v>
      </c>
      <c r="D535" t="s">
        <v>369</v>
      </c>
      <c r="E535" t="s">
        <v>149</v>
      </c>
    </row>
    <row r="536" spans="1:5" x14ac:dyDescent="0.35">
      <c r="A536" t="s">
        <v>636</v>
      </c>
      <c r="B536" t="s">
        <v>724</v>
      </c>
      <c r="C536" t="s">
        <v>145</v>
      </c>
      <c r="D536" t="s">
        <v>369</v>
      </c>
      <c r="E536" t="s">
        <v>149</v>
      </c>
    </row>
    <row r="537" spans="1:5" x14ac:dyDescent="0.35">
      <c r="A537" t="s">
        <v>636</v>
      </c>
      <c r="B537" t="s">
        <v>725</v>
      </c>
      <c r="C537" t="s">
        <v>145</v>
      </c>
      <c r="D537" t="s">
        <v>369</v>
      </c>
      <c r="E537" t="s">
        <v>149</v>
      </c>
    </row>
    <row r="538" spans="1:5" x14ac:dyDescent="0.35">
      <c r="A538" t="s">
        <v>636</v>
      </c>
      <c r="B538" t="s">
        <v>726</v>
      </c>
      <c r="C538" t="s">
        <v>141</v>
      </c>
      <c r="D538" t="s">
        <v>369</v>
      </c>
      <c r="E538" t="s">
        <v>153</v>
      </c>
    </row>
    <row r="539" spans="1:5" x14ac:dyDescent="0.35">
      <c r="A539" t="s">
        <v>636</v>
      </c>
      <c r="B539" t="s">
        <v>727</v>
      </c>
      <c r="C539" t="s">
        <v>207</v>
      </c>
      <c r="D539" t="s">
        <v>369</v>
      </c>
      <c r="E539" t="s">
        <v>153</v>
      </c>
    </row>
    <row r="540" spans="1:5" x14ac:dyDescent="0.35">
      <c r="A540" t="s">
        <v>636</v>
      </c>
      <c r="B540" t="s">
        <v>728</v>
      </c>
      <c r="C540" t="s">
        <v>207</v>
      </c>
      <c r="D540" t="s">
        <v>369</v>
      </c>
      <c r="E540" t="s">
        <v>153</v>
      </c>
    </row>
    <row r="541" spans="1:5" x14ac:dyDescent="0.35">
      <c r="A541" t="s">
        <v>636</v>
      </c>
      <c r="B541" t="s">
        <v>729</v>
      </c>
      <c r="C541" t="s">
        <v>145</v>
      </c>
      <c r="D541" t="s">
        <v>369</v>
      </c>
      <c r="E541" t="s">
        <v>153</v>
      </c>
    </row>
    <row r="542" spans="1:5" x14ac:dyDescent="0.35">
      <c r="A542" t="s">
        <v>636</v>
      </c>
      <c r="B542" t="s">
        <v>730</v>
      </c>
      <c r="C542" t="s">
        <v>217</v>
      </c>
      <c r="D542" t="s">
        <v>369</v>
      </c>
      <c r="E542" t="s">
        <v>153</v>
      </c>
    </row>
    <row r="543" spans="1:5" x14ac:dyDescent="0.35">
      <c r="A543" t="s">
        <v>636</v>
      </c>
      <c r="B543" t="s">
        <v>731</v>
      </c>
      <c r="C543" t="s">
        <v>207</v>
      </c>
      <c r="D543" t="s">
        <v>369</v>
      </c>
      <c r="E543" t="s">
        <v>153</v>
      </c>
    </row>
    <row r="544" spans="1:5" x14ac:dyDescent="0.35">
      <c r="A544" t="s">
        <v>636</v>
      </c>
      <c r="B544" t="s">
        <v>732</v>
      </c>
      <c r="C544" t="s">
        <v>145</v>
      </c>
      <c r="D544" t="s">
        <v>369</v>
      </c>
      <c r="E544" t="s">
        <v>156</v>
      </c>
    </row>
    <row r="545" spans="1:5" x14ac:dyDescent="0.35">
      <c r="A545" t="s">
        <v>636</v>
      </c>
      <c r="B545" t="s">
        <v>733</v>
      </c>
      <c r="C545" t="s">
        <v>145</v>
      </c>
      <c r="D545" t="s">
        <v>369</v>
      </c>
      <c r="E545" t="s">
        <v>156</v>
      </c>
    </row>
    <row r="546" spans="1:5" x14ac:dyDescent="0.35">
      <c r="A546" t="s">
        <v>636</v>
      </c>
      <c r="B546" t="s">
        <v>734</v>
      </c>
      <c r="C546" t="s">
        <v>217</v>
      </c>
      <c r="D546" t="s">
        <v>369</v>
      </c>
      <c r="E546" t="s">
        <v>156</v>
      </c>
    </row>
    <row r="547" spans="1:5" x14ac:dyDescent="0.35">
      <c r="A547" t="s">
        <v>636</v>
      </c>
      <c r="B547" t="s">
        <v>735</v>
      </c>
      <c r="C547" t="s">
        <v>141</v>
      </c>
      <c r="D547" t="s">
        <v>369</v>
      </c>
      <c r="E547" t="s">
        <v>156</v>
      </c>
    </row>
    <row r="548" spans="1:5" x14ac:dyDescent="0.35">
      <c r="A548" t="s">
        <v>636</v>
      </c>
      <c r="B548" t="s">
        <v>736</v>
      </c>
      <c r="C548" t="s">
        <v>145</v>
      </c>
      <c r="D548" t="s">
        <v>369</v>
      </c>
      <c r="E548" t="s">
        <v>156</v>
      </c>
    </row>
    <row r="549" spans="1:5" x14ac:dyDescent="0.35">
      <c r="A549" t="s">
        <v>636</v>
      </c>
      <c r="B549" t="s">
        <v>737</v>
      </c>
      <c r="C549" t="s">
        <v>141</v>
      </c>
      <c r="D549" t="s">
        <v>369</v>
      </c>
      <c r="E549" t="s">
        <v>156</v>
      </c>
    </row>
    <row r="550" spans="1:5" x14ac:dyDescent="0.35">
      <c r="A550" t="s">
        <v>636</v>
      </c>
      <c r="B550" t="s">
        <v>738</v>
      </c>
      <c r="C550" t="s">
        <v>141</v>
      </c>
      <c r="D550" t="s">
        <v>369</v>
      </c>
      <c r="E550" t="s">
        <v>156</v>
      </c>
    </row>
    <row r="551" spans="1:5" x14ac:dyDescent="0.35">
      <c r="A551" t="s">
        <v>636</v>
      </c>
      <c r="B551" t="s">
        <v>739</v>
      </c>
      <c r="C551" t="s">
        <v>141</v>
      </c>
      <c r="D551" t="s">
        <v>369</v>
      </c>
      <c r="E551" t="s">
        <v>156</v>
      </c>
    </row>
    <row r="552" spans="1:5" x14ac:dyDescent="0.35">
      <c r="A552" t="s">
        <v>636</v>
      </c>
      <c r="B552" t="s">
        <v>740</v>
      </c>
      <c r="C552" t="s">
        <v>207</v>
      </c>
      <c r="D552" t="s">
        <v>369</v>
      </c>
      <c r="E552" t="s">
        <v>162</v>
      </c>
    </row>
    <row r="553" spans="1:5" x14ac:dyDescent="0.35">
      <c r="A553" t="s">
        <v>636</v>
      </c>
      <c r="B553" t="s">
        <v>741</v>
      </c>
      <c r="C553" t="s">
        <v>141</v>
      </c>
      <c r="D553" t="s">
        <v>369</v>
      </c>
      <c r="E553" t="s">
        <v>162</v>
      </c>
    </row>
    <row r="554" spans="1:5" x14ac:dyDescent="0.35">
      <c r="A554" t="s">
        <v>636</v>
      </c>
      <c r="B554" t="s">
        <v>742</v>
      </c>
      <c r="C554" t="s">
        <v>145</v>
      </c>
      <c r="D554" t="s">
        <v>369</v>
      </c>
      <c r="E554" t="s">
        <v>162</v>
      </c>
    </row>
    <row r="555" spans="1:5" x14ac:dyDescent="0.35">
      <c r="A555" t="s">
        <v>636</v>
      </c>
      <c r="B555" t="s">
        <v>743</v>
      </c>
      <c r="C555" t="s">
        <v>141</v>
      </c>
      <c r="D555" t="s">
        <v>369</v>
      </c>
      <c r="E555" t="s">
        <v>162</v>
      </c>
    </row>
    <row r="556" spans="1:5" x14ac:dyDescent="0.35">
      <c r="A556" t="s">
        <v>636</v>
      </c>
      <c r="B556" t="s">
        <v>744</v>
      </c>
      <c r="C556" t="s">
        <v>207</v>
      </c>
      <c r="D556" t="s">
        <v>369</v>
      </c>
      <c r="E556" t="s">
        <v>165</v>
      </c>
    </row>
    <row r="557" spans="1:5" x14ac:dyDescent="0.35">
      <c r="A557" t="s">
        <v>636</v>
      </c>
      <c r="B557" t="s">
        <v>745</v>
      </c>
      <c r="C557" t="s">
        <v>207</v>
      </c>
      <c r="D557" t="s">
        <v>369</v>
      </c>
      <c r="E557" t="s">
        <v>165</v>
      </c>
    </row>
    <row r="558" spans="1:5" x14ac:dyDescent="0.35">
      <c r="A558" t="s">
        <v>636</v>
      </c>
      <c r="B558" t="s">
        <v>746</v>
      </c>
      <c r="C558" t="s">
        <v>207</v>
      </c>
      <c r="D558" t="s">
        <v>369</v>
      </c>
      <c r="E558" t="s">
        <v>165</v>
      </c>
    </row>
    <row r="559" spans="1:5" x14ac:dyDescent="0.35">
      <c r="A559" t="s">
        <v>636</v>
      </c>
      <c r="B559" t="s">
        <v>747</v>
      </c>
      <c r="C559" t="s">
        <v>207</v>
      </c>
      <c r="D559" t="s">
        <v>369</v>
      </c>
      <c r="E559" t="s">
        <v>356</v>
      </c>
    </row>
    <row r="560" spans="1:5" x14ac:dyDescent="0.35">
      <c r="A560" t="s">
        <v>636</v>
      </c>
      <c r="B560" t="s">
        <v>748</v>
      </c>
      <c r="C560" t="s">
        <v>145</v>
      </c>
      <c r="D560" t="s">
        <v>369</v>
      </c>
      <c r="E560" t="s">
        <v>356</v>
      </c>
    </row>
    <row r="561" spans="1:5" x14ac:dyDescent="0.35">
      <c r="A561" t="s">
        <v>636</v>
      </c>
      <c r="B561" t="s">
        <v>749</v>
      </c>
      <c r="C561" t="s">
        <v>145</v>
      </c>
      <c r="D561" t="s">
        <v>369</v>
      </c>
      <c r="E561" t="s">
        <v>356</v>
      </c>
    </row>
    <row r="562" spans="1:5" x14ac:dyDescent="0.35">
      <c r="A562" t="s">
        <v>636</v>
      </c>
      <c r="B562" t="s">
        <v>750</v>
      </c>
      <c r="C562" t="s">
        <v>145</v>
      </c>
      <c r="D562" t="s">
        <v>369</v>
      </c>
      <c r="E562" t="s">
        <v>356</v>
      </c>
    </row>
    <row r="563" spans="1:5" x14ac:dyDescent="0.35">
      <c r="A563" t="s">
        <v>636</v>
      </c>
      <c r="B563" t="s">
        <v>751</v>
      </c>
      <c r="C563" t="s">
        <v>145</v>
      </c>
      <c r="D563" t="s">
        <v>369</v>
      </c>
      <c r="E563" t="s">
        <v>167</v>
      </c>
    </row>
    <row r="564" spans="1:5" x14ac:dyDescent="0.35">
      <c r="A564" t="s">
        <v>636</v>
      </c>
      <c r="B564" t="s">
        <v>752</v>
      </c>
      <c r="C564" t="s">
        <v>145</v>
      </c>
      <c r="D564" t="s">
        <v>369</v>
      </c>
      <c r="E564" t="s">
        <v>167</v>
      </c>
    </row>
    <row r="565" spans="1:5" x14ac:dyDescent="0.35">
      <c r="A565" t="s">
        <v>636</v>
      </c>
      <c r="B565" t="s">
        <v>753</v>
      </c>
      <c r="C565" t="s">
        <v>145</v>
      </c>
      <c r="D565" t="s">
        <v>369</v>
      </c>
      <c r="E565" t="s">
        <v>167</v>
      </c>
    </row>
    <row r="566" spans="1:5" x14ac:dyDescent="0.35">
      <c r="A566" t="s">
        <v>636</v>
      </c>
      <c r="B566" t="s">
        <v>754</v>
      </c>
      <c r="C566" t="s">
        <v>145</v>
      </c>
      <c r="D566" t="s">
        <v>369</v>
      </c>
      <c r="E566" t="s">
        <v>167</v>
      </c>
    </row>
    <row r="567" spans="1:5" x14ac:dyDescent="0.35">
      <c r="A567" t="s">
        <v>636</v>
      </c>
      <c r="B567" t="s">
        <v>755</v>
      </c>
      <c r="C567" t="s">
        <v>145</v>
      </c>
      <c r="D567" t="s">
        <v>369</v>
      </c>
      <c r="E567" t="s">
        <v>167</v>
      </c>
    </row>
    <row r="568" spans="1:5" x14ac:dyDescent="0.35">
      <c r="A568" t="s">
        <v>636</v>
      </c>
      <c r="B568" t="s">
        <v>756</v>
      </c>
      <c r="C568" t="s">
        <v>145</v>
      </c>
      <c r="D568" t="s">
        <v>369</v>
      </c>
      <c r="E568" t="s">
        <v>167</v>
      </c>
    </row>
    <row r="569" spans="1:5" x14ac:dyDescent="0.35">
      <c r="A569" t="s">
        <v>636</v>
      </c>
      <c r="B569" t="s">
        <v>757</v>
      </c>
      <c r="C569" t="s">
        <v>145</v>
      </c>
      <c r="D569" t="s">
        <v>369</v>
      </c>
      <c r="E569" t="s">
        <v>167</v>
      </c>
    </row>
    <row r="570" spans="1:5" x14ac:dyDescent="0.35">
      <c r="A570" t="s">
        <v>636</v>
      </c>
      <c r="B570" t="s">
        <v>758</v>
      </c>
      <c r="C570" t="s">
        <v>145</v>
      </c>
      <c r="D570" t="s">
        <v>369</v>
      </c>
      <c r="E570" t="s">
        <v>167</v>
      </c>
    </row>
    <row r="571" spans="1:5" x14ac:dyDescent="0.35">
      <c r="A571" t="s">
        <v>636</v>
      </c>
      <c r="B571" t="s">
        <v>759</v>
      </c>
      <c r="C571" t="s">
        <v>145</v>
      </c>
      <c r="D571" t="s">
        <v>369</v>
      </c>
      <c r="E571" t="s">
        <v>167</v>
      </c>
    </row>
    <row r="572" spans="1:5" x14ac:dyDescent="0.35">
      <c r="A572" t="s">
        <v>636</v>
      </c>
      <c r="B572" t="s">
        <v>760</v>
      </c>
      <c r="C572" t="s">
        <v>207</v>
      </c>
      <c r="D572" t="s">
        <v>369</v>
      </c>
      <c r="E572" t="s">
        <v>167</v>
      </c>
    </row>
    <row r="573" spans="1:5" x14ac:dyDescent="0.35">
      <c r="A573" t="s">
        <v>636</v>
      </c>
      <c r="B573" t="s">
        <v>761</v>
      </c>
      <c r="C573" t="s">
        <v>145</v>
      </c>
      <c r="D573" t="s">
        <v>369</v>
      </c>
      <c r="E573" t="s">
        <v>167</v>
      </c>
    </row>
    <row r="574" spans="1:5" x14ac:dyDescent="0.35">
      <c r="A574" t="s">
        <v>636</v>
      </c>
      <c r="B574" t="s">
        <v>762</v>
      </c>
      <c r="C574" t="s">
        <v>145</v>
      </c>
      <c r="D574" t="s">
        <v>369</v>
      </c>
      <c r="E574" t="s">
        <v>167</v>
      </c>
    </row>
    <row r="575" spans="1:5" x14ac:dyDescent="0.35">
      <c r="A575" t="s">
        <v>636</v>
      </c>
      <c r="B575" t="s">
        <v>763</v>
      </c>
      <c r="C575" t="s">
        <v>145</v>
      </c>
      <c r="D575" t="s">
        <v>369</v>
      </c>
      <c r="E575" t="s">
        <v>167</v>
      </c>
    </row>
    <row r="576" spans="1:5" x14ac:dyDescent="0.35">
      <c r="A576" t="s">
        <v>636</v>
      </c>
      <c r="B576" t="s">
        <v>764</v>
      </c>
      <c r="C576" t="s">
        <v>145</v>
      </c>
      <c r="D576" t="s">
        <v>369</v>
      </c>
      <c r="E576" t="s">
        <v>167</v>
      </c>
    </row>
    <row r="577" spans="1:5" x14ac:dyDescent="0.35">
      <c r="A577" t="s">
        <v>636</v>
      </c>
      <c r="B577" t="s">
        <v>765</v>
      </c>
      <c r="C577" t="s">
        <v>145</v>
      </c>
      <c r="D577" t="s">
        <v>369</v>
      </c>
      <c r="E577" t="s">
        <v>167</v>
      </c>
    </row>
    <row r="578" spans="1:5" x14ac:dyDescent="0.35">
      <c r="A578" t="s">
        <v>636</v>
      </c>
      <c r="B578" t="s">
        <v>766</v>
      </c>
      <c r="C578" t="s">
        <v>145</v>
      </c>
      <c r="D578" t="s">
        <v>369</v>
      </c>
      <c r="E578" t="s">
        <v>167</v>
      </c>
    </row>
    <row r="579" spans="1:5" x14ac:dyDescent="0.35">
      <c r="A579" t="s">
        <v>636</v>
      </c>
      <c r="B579" t="s">
        <v>767</v>
      </c>
      <c r="C579" t="s">
        <v>141</v>
      </c>
      <c r="D579" t="s">
        <v>369</v>
      </c>
      <c r="E579" t="s">
        <v>170</v>
      </c>
    </row>
    <row r="580" spans="1:5" x14ac:dyDescent="0.35">
      <c r="A580" t="s">
        <v>636</v>
      </c>
      <c r="B580" t="s">
        <v>768</v>
      </c>
      <c r="C580" t="s">
        <v>217</v>
      </c>
      <c r="D580" t="s">
        <v>369</v>
      </c>
      <c r="E580" t="s">
        <v>170</v>
      </c>
    </row>
    <row r="581" spans="1:5" x14ac:dyDescent="0.35">
      <c r="A581" t="s">
        <v>636</v>
      </c>
      <c r="B581" t="s">
        <v>769</v>
      </c>
      <c r="C581" t="s">
        <v>145</v>
      </c>
      <c r="D581" t="s">
        <v>369</v>
      </c>
      <c r="E581" t="s">
        <v>170</v>
      </c>
    </row>
    <row r="582" spans="1:5" x14ac:dyDescent="0.35">
      <c r="A582" t="s">
        <v>636</v>
      </c>
      <c r="B582" t="s">
        <v>770</v>
      </c>
      <c r="C582" t="s">
        <v>145</v>
      </c>
      <c r="D582" t="s">
        <v>369</v>
      </c>
      <c r="E582" t="s">
        <v>170</v>
      </c>
    </row>
    <row r="583" spans="1:5" x14ac:dyDescent="0.35">
      <c r="A583" t="s">
        <v>636</v>
      </c>
      <c r="B583" t="s">
        <v>771</v>
      </c>
      <c r="C583" t="s">
        <v>145</v>
      </c>
      <c r="D583" t="s">
        <v>369</v>
      </c>
      <c r="E583" t="s">
        <v>170</v>
      </c>
    </row>
    <row r="584" spans="1:5" x14ac:dyDescent="0.35">
      <c r="A584" t="s">
        <v>636</v>
      </c>
      <c r="B584" t="s">
        <v>772</v>
      </c>
      <c r="C584" t="s">
        <v>145</v>
      </c>
      <c r="D584" t="s">
        <v>369</v>
      </c>
      <c r="E584" t="s">
        <v>170</v>
      </c>
    </row>
    <row r="585" spans="1:5" x14ac:dyDescent="0.35">
      <c r="A585" t="s">
        <v>636</v>
      </c>
      <c r="B585" t="s">
        <v>773</v>
      </c>
      <c r="C585" t="s">
        <v>145</v>
      </c>
      <c r="D585" t="s">
        <v>369</v>
      </c>
      <c r="E585" t="s">
        <v>170</v>
      </c>
    </row>
    <row r="586" spans="1:5" x14ac:dyDescent="0.35">
      <c r="A586" t="s">
        <v>636</v>
      </c>
      <c r="B586" t="s">
        <v>774</v>
      </c>
      <c r="C586" t="s">
        <v>207</v>
      </c>
      <c r="D586" t="s">
        <v>369</v>
      </c>
      <c r="E586" t="s">
        <v>170</v>
      </c>
    </row>
    <row r="587" spans="1:5" x14ac:dyDescent="0.35">
      <c r="A587" t="s">
        <v>636</v>
      </c>
      <c r="B587" t="s">
        <v>775</v>
      </c>
      <c r="C587" t="s">
        <v>145</v>
      </c>
      <c r="D587" t="s">
        <v>369</v>
      </c>
      <c r="E587" t="s">
        <v>170</v>
      </c>
    </row>
    <row r="588" spans="1:5" x14ac:dyDescent="0.35">
      <c r="A588" t="s">
        <v>636</v>
      </c>
      <c r="B588" t="s">
        <v>776</v>
      </c>
      <c r="C588" t="s">
        <v>145</v>
      </c>
      <c r="D588" t="s">
        <v>369</v>
      </c>
      <c r="E588" t="s">
        <v>170</v>
      </c>
    </row>
    <row r="589" spans="1:5" x14ac:dyDescent="0.35">
      <c r="A589" t="s">
        <v>636</v>
      </c>
      <c r="B589" t="s">
        <v>777</v>
      </c>
      <c r="C589" t="s">
        <v>145</v>
      </c>
      <c r="D589" t="s">
        <v>369</v>
      </c>
      <c r="E589" t="s">
        <v>170</v>
      </c>
    </row>
    <row r="590" spans="1:5" x14ac:dyDescent="0.35">
      <c r="A590" t="s">
        <v>636</v>
      </c>
      <c r="B590" t="s">
        <v>778</v>
      </c>
      <c r="C590" t="s">
        <v>145</v>
      </c>
      <c r="D590" t="s">
        <v>369</v>
      </c>
      <c r="E590" t="s">
        <v>173</v>
      </c>
    </row>
    <row r="591" spans="1:5" x14ac:dyDescent="0.35">
      <c r="A591" t="s">
        <v>636</v>
      </c>
      <c r="B591" t="s">
        <v>779</v>
      </c>
      <c r="C591" t="s">
        <v>145</v>
      </c>
      <c r="D591" t="s">
        <v>369</v>
      </c>
      <c r="E591" t="s">
        <v>173</v>
      </c>
    </row>
    <row r="592" spans="1:5" x14ac:dyDescent="0.35">
      <c r="A592" t="s">
        <v>636</v>
      </c>
      <c r="B592" t="s">
        <v>780</v>
      </c>
      <c r="C592" t="s">
        <v>141</v>
      </c>
      <c r="D592" t="s">
        <v>369</v>
      </c>
      <c r="E592" t="s">
        <v>173</v>
      </c>
    </row>
    <row r="593" spans="1:5" x14ac:dyDescent="0.35">
      <c r="A593" t="s">
        <v>636</v>
      </c>
      <c r="B593" t="s">
        <v>781</v>
      </c>
      <c r="C593" t="s">
        <v>145</v>
      </c>
      <c r="D593" t="s">
        <v>369</v>
      </c>
      <c r="E593" t="s">
        <v>173</v>
      </c>
    </row>
    <row r="594" spans="1:5" x14ac:dyDescent="0.35">
      <c r="A594" t="s">
        <v>636</v>
      </c>
      <c r="B594" t="s">
        <v>782</v>
      </c>
      <c r="C594" t="s">
        <v>145</v>
      </c>
      <c r="D594" t="s">
        <v>369</v>
      </c>
      <c r="E594" t="s">
        <v>173</v>
      </c>
    </row>
    <row r="595" spans="1:5" x14ac:dyDescent="0.35">
      <c r="A595" t="s">
        <v>636</v>
      </c>
      <c r="B595" t="s">
        <v>783</v>
      </c>
      <c r="C595" t="s">
        <v>145</v>
      </c>
      <c r="D595" t="s">
        <v>369</v>
      </c>
      <c r="E595" t="s">
        <v>173</v>
      </c>
    </row>
    <row r="596" spans="1:5" x14ac:dyDescent="0.35">
      <c r="A596" t="s">
        <v>636</v>
      </c>
      <c r="B596" t="s">
        <v>784</v>
      </c>
      <c r="C596" t="s">
        <v>145</v>
      </c>
      <c r="D596" t="s">
        <v>369</v>
      </c>
      <c r="E596" t="s">
        <v>173</v>
      </c>
    </row>
    <row r="597" spans="1:5" x14ac:dyDescent="0.35">
      <c r="A597" t="s">
        <v>636</v>
      </c>
      <c r="B597" t="s">
        <v>785</v>
      </c>
      <c r="C597" t="s">
        <v>145</v>
      </c>
      <c r="D597" t="s">
        <v>369</v>
      </c>
      <c r="E597" t="s">
        <v>173</v>
      </c>
    </row>
    <row r="598" spans="1:5" x14ac:dyDescent="0.35">
      <c r="A598" t="s">
        <v>636</v>
      </c>
      <c r="B598" t="s">
        <v>786</v>
      </c>
      <c r="C598" t="s">
        <v>145</v>
      </c>
      <c r="D598" t="s">
        <v>369</v>
      </c>
      <c r="E598" t="s">
        <v>173</v>
      </c>
    </row>
    <row r="599" spans="1:5" x14ac:dyDescent="0.35">
      <c r="A599" t="s">
        <v>636</v>
      </c>
      <c r="B599" t="s">
        <v>787</v>
      </c>
      <c r="C599" t="s">
        <v>145</v>
      </c>
      <c r="D599" t="s">
        <v>369</v>
      </c>
      <c r="E599" t="s">
        <v>173</v>
      </c>
    </row>
    <row r="600" spans="1:5" x14ac:dyDescent="0.35">
      <c r="A600" t="s">
        <v>636</v>
      </c>
      <c r="B600" t="s">
        <v>788</v>
      </c>
      <c r="C600" t="s">
        <v>145</v>
      </c>
      <c r="D600" t="s">
        <v>369</v>
      </c>
      <c r="E600" t="s">
        <v>178</v>
      </c>
    </row>
    <row r="601" spans="1:5" x14ac:dyDescent="0.35">
      <c r="A601" t="s">
        <v>636</v>
      </c>
      <c r="B601" t="s">
        <v>789</v>
      </c>
      <c r="C601" t="s">
        <v>145</v>
      </c>
      <c r="D601" t="s">
        <v>369</v>
      </c>
      <c r="E601" t="s">
        <v>178</v>
      </c>
    </row>
    <row r="602" spans="1:5" x14ac:dyDescent="0.35">
      <c r="A602" t="s">
        <v>636</v>
      </c>
      <c r="B602" t="s">
        <v>790</v>
      </c>
      <c r="C602" t="s">
        <v>145</v>
      </c>
      <c r="D602" t="s">
        <v>369</v>
      </c>
      <c r="E602" t="s">
        <v>178</v>
      </c>
    </row>
    <row r="603" spans="1:5" x14ac:dyDescent="0.35">
      <c r="A603" t="s">
        <v>636</v>
      </c>
      <c r="B603" t="s">
        <v>791</v>
      </c>
      <c r="C603" t="s">
        <v>207</v>
      </c>
      <c r="D603" t="s">
        <v>369</v>
      </c>
      <c r="E603" t="s">
        <v>178</v>
      </c>
    </row>
    <row r="604" spans="1:5" x14ac:dyDescent="0.35">
      <c r="A604" t="s">
        <v>636</v>
      </c>
      <c r="B604" t="s">
        <v>792</v>
      </c>
      <c r="C604" t="s">
        <v>145</v>
      </c>
      <c r="D604" t="s">
        <v>369</v>
      </c>
      <c r="E604" t="s">
        <v>178</v>
      </c>
    </row>
    <row r="605" spans="1:5" x14ac:dyDescent="0.35">
      <c r="A605" t="s">
        <v>636</v>
      </c>
      <c r="B605" t="s">
        <v>793</v>
      </c>
      <c r="C605" t="s">
        <v>145</v>
      </c>
      <c r="D605" t="s">
        <v>369</v>
      </c>
      <c r="E605" t="s">
        <v>178</v>
      </c>
    </row>
    <row r="606" spans="1:5" x14ac:dyDescent="0.35">
      <c r="A606" t="s">
        <v>636</v>
      </c>
      <c r="B606" t="s">
        <v>794</v>
      </c>
      <c r="C606" t="s">
        <v>439</v>
      </c>
      <c r="D606" t="s">
        <v>369</v>
      </c>
      <c r="E606" t="s">
        <v>178</v>
      </c>
    </row>
    <row r="607" spans="1:5" x14ac:dyDescent="0.35">
      <c r="A607" t="s">
        <v>636</v>
      </c>
      <c r="B607" t="s">
        <v>795</v>
      </c>
      <c r="C607" t="s">
        <v>145</v>
      </c>
      <c r="D607" t="s">
        <v>369</v>
      </c>
      <c r="E607" t="s">
        <v>178</v>
      </c>
    </row>
    <row r="608" spans="1:5" x14ac:dyDescent="0.35">
      <c r="A608" t="s">
        <v>636</v>
      </c>
      <c r="B608" t="s">
        <v>796</v>
      </c>
      <c r="C608" t="s">
        <v>145</v>
      </c>
      <c r="D608" t="s">
        <v>369</v>
      </c>
      <c r="E608" t="s">
        <v>178</v>
      </c>
    </row>
    <row r="609" spans="1:5" x14ac:dyDescent="0.35">
      <c r="A609" t="s">
        <v>636</v>
      </c>
      <c r="B609" t="s">
        <v>797</v>
      </c>
      <c r="C609" t="s">
        <v>141</v>
      </c>
      <c r="D609" t="s">
        <v>369</v>
      </c>
      <c r="E609" t="s">
        <v>183</v>
      </c>
    </row>
    <row r="610" spans="1:5" x14ac:dyDescent="0.35">
      <c r="A610" t="s">
        <v>636</v>
      </c>
      <c r="B610" t="s">
        <v>798</v>
      </c>
      <c r="C610" t="s">
        <v>207</v>
      </c>
      <c r="D610" t="s">
        <v>369</v>
      </c>
      <c r="E610" t="s">
        <v>183</v>
      </c>
    </row>
    <row r="611" spans="1:5" x14ac:dyDescent="0.35">
      <c r="A611" t="s">
        <v>636</v>
      </c>
      <c r="B611" t="s">
        <v>799</v>
      </c>
      <c r="C611" t="s">
        <v>145</v>
      </c>
      <c r="D611" t="s">
        <v>369</v>
      </c>
      <c r="E611" t="s">
        <v>183</v>
      </c>
    </row>
    <row r="612" spans="1:5" x14ac:dyDescent="0.35">
      <c r="A612" t="s">
        <v>636</v>
      </c>
      <c r="B612" t="s">
        <v>800</v>
      </c>
      <c r="C612" t="s">
        <v>145</v>
      </c>
      <c r="D612" t="s">
        <v>369</v>
      </c>
      <c r="E612" t="s">
        <v>183</v>
      </c>
    </row>
    <row r="613" spans="1:5" x14ac:dyDescent="0.35">
      <c r="A613" t="s">
        <v>636</v>
      </c>
      <c r="B613" t="s">
        <v>801</v>
      </c>
      <c r="C613" t="s">
        <v>145</v>
      </c>
      <c r="D613" t="s">
        <v>369</v>
      </c>
      <c r="E613" t="s">
        <v>183</v>
      </c>
    </row>
    <row r="614" spans="1:5" x14ac:dyDescent="0.35">
      <c r="A614" t="s">
        <v>636</v>
      </c>
      <c r="B614" t="s">
        <v>802</v>
      </c>
      <c r="C614" t="s">
        <v>217</v>
      </c>
      <c r="D614" t="s">
        <v>369</v>
      </c>
      <c r="E614" t="s">
        <v>183</v>
      </c>
    </row>
    <row r="615" spans="1:5" x14ac:dyDescent="0.35">
      <c r="A615" t="s">
        <v>636</v>
      </c>
      <c r="B615" t="s">
        <v>803</v>
      </c>
      <c r="C615" t="s">
        <v>145</v>
      </c>
      <c r="D615" t="s">
        <v>369</v>
      </c>
      <c r="E615" t="s">
        <v>183</v>
      </c>
    </row>
    <row r="616" spans="1:5" x14ac:dyDescent="0.35">
      <c r="A616" t="s">
        <v>636</v>
      </c>
      <c r="B616" t="s">
        <v>804</v>
      </c>
      <c r="C616" t="s">
        <v>145</v>
      </c>
      <c r="D616" t="s">
        <v>369</v>
      </c>
      <c r="E616" t="s">
        <v>183</v>
      </c>
    </row>
    <row r="617" spans="1:5" x14ac:dyDescent="0.35">
      <c r="A617" t="s">
        <v>636</v>
      </c>
      <c r="B617" t="s">
        <v>805</v>
      </c>
      <c r="C617" t="s">
        <v>145</v>
      </c>
      <c r="D617" t="s">
        <v>369</v>
      </c>
      <c r="E617" t="s">
        <v>183</v>
      </c>
    </row>
    <row r="618" spans="1:5" x14ac:dyDescent="0.35">
      <c r="A618" t="s">
        <v>636</v>
      </c>
      <c r="B618" t="s">
        <v>806</v>
      </c>
      <c r="C618" t="s">
        <v>145</v>
      </c>
      <c r="D618" t="s">
        <v>369</v>
      </c>
      <c r="E618" t="s">
        <v>183</v>
      </c>
    </row>
    <row r="619" spans="1:5" x14ac:dyDescent="0.35">
      <c r="A619" t="s">
        <v>636</v>
      </c>
      <c r="B619" t="s">
        <v>807</v>
      </c>
      <c r="C619" t="s">
        <v>145</v>
      </c>
      <c r="D619" t="s">
        <v>369</v>
      </c>
      <c r="E619" t="s">
        <v>183</v>
      </c>
    </row>
    <row r="620" spans="1:5" x14ac:dyDescent="0.35">
      <c r="A620" t="s">
        <v>636</v>
      </c>
      <c r="B620" t="s">
        <v>808</v>
      </c>
      <c r="C620" t="s">
        <v>145</v>
      </c>
      <c r="D620" t="s">
        <v>369</v>
      </c>
      <c r="E620" t="s">
        <v>183</v>
      </c>
    </row>
    <row r="621" spans="1:5" x14ac:dyDescent="0.35">
      <c r="A621" t="s">
        <v>636</v>
      </c>
      <c r="B621" t="s">
        <v>809</v>
      </c>
      <c r="C621" t="s">
        <v>217</v>
      </c>
      <c r="D621" t="s">
        <v>369</v>
      </c>
      <c r="E621" t="s">
        <v>183</v>
      </c>
    </row>
    <row r="622" spans="1:5" x14ac:dyDescent="0.35">
      <c r="A622" t="s">
        <v>636</v>
      </c>
      <c r="B622" t="s">
        <v>810</v>
      </c>
      <c r="C622" t="s">
        <v>145</v>
      </c>
      <c r="D622" t="s">
        <v>369</v>
      </c>
      <c r="E622" t="s">
        <v>183</v>
      </c>
    </row>
    <row r="623" spans="1:5" x14ac:dyDescent="0.35">
      <c r="A623" t="s">
        <v>636</v>
      </c>
      <c r="B623" t="s">
        <v>811</v>
      </c>
      <c r="C623" t="s">
        <v>141</v>
      </c>
      <c r="D623" t="s">
        <v>369</v>
      </c>
      <c r="E623" t="s">
        <v>189</v>
      </c>
    </row>
    <row r="624" spans="1:5" x14ac:dyDescent="0.35">
      <c r="A624" t="s">
        <v>636</v>
      </c>
      <c r="B624" t="s">
        <v>812</v>
      </c>
      <c r="C624" t="s">
        <v>141</v>
      </c>
      <c r="D624" t="s">
        <v>369</v>
      </c>
      <c r="E624" t="s">
        <v>189</v>
      </c>
    </row>
    <row r="625" spans="1:5" x14ac:dyDescent="0.35">
      <c r="A625" t="s">
        <v>636</v>
      </c>
      <c r="B625" t="s">
        <v>813</v>
      </c>
      <c r="C625" t="s">
        <v>145</v>
      </c>
      <c r="D625" t="s">
        <v>369</v>
      </c>
      <c r="E625" t="s">
        <v>189</v>
      </c>
    </row>
    <row r="626" spans="1:5" x14ac:dyDescent="0.35">
      <c r="A626" t="s">
        <v>636</v>
      </c>
      <c r="B626" t="s">
        <v>814</v>
      </c>
      <c r="C626" t="s">
        <v>145</v>
      </c>
      <c r="D626" t="s">
        <v>369</v>
      </c>
      <c r="E626" t="s">
        <v>189</v>
      </c>
    </row>
    <row r="627" spans="1:5" x14ac:dyDescent="0.35">
      <c r="A627" t="s">
        <v>636</v>
      </c>
      <c r="B627" t="s">
        <v>815</v>
      </c>
      <c r="C627" t="s">
        <v>145</v>
      </c>
      <c r="D627" t="s">
        <v>369</v>
      </c>
      <c r="E627" t="s">
        <v>189</v>
      </c>
    </row>
    <row r="628" spans="1:5" x14ac:dyDescent="0.35">
      <c r="A628" t="s">
        <v>636</v>
      </c>
      <c r="B628" t="s">
        <v>816</v>
      </c>
      <c r="C628" t="s">
        <v>145</v>
      </c>
      <c r="D628" t="s">
        <v>369</v>
      </c>
      <c r="E628" t="s">
        <v>189</v>
      </c>
    </row>
    <row r="629" spans="1:5" x14ac:dyDescent="0.35">
      <c r="A629" t="s">
        <v>636</v>
      </c>
      <c r="B629" t="s">
        <v>817</v>
      </c>
      <c r="C629" t="s">
        <v>217</v>
      </c>
      <c r="D629" t="s">
        <v>369</v>
      </c>
      <c r="E629" t="s">
        <v>189</v>
      </c>
    </row>
    <row r="630" spans="1:5" x14ac:dyDescent="0.35">
      <c r="A630" t="s">
        <v>636</v>
      </c>
      <c r="B630" t="s">
        <v>818</v>
      </c>
      <c r="C630" t="s">
        <v>145</v>
      </c>
      <c r="D630" t="s">
        <v>369</v>
      </c>
      <c r="E630" t="s">
        <v>189</v>
      </c>
    </row>
    <row r="631" spans="1:5" x14ac:dyDescent="0.35">
      <c r="A631" t="s">
        <v>636</v>
      </c>
      <c r="B631" t="s">
        <v>819</v>
      </c>
      <c r="C631" t="s">
        <v>212</v>
      </c>
      <c r="D631" t="s">
        <v>369</v>
      </c>
      <c r="E631" t="s">
        <v>301</v>
      </c>
    </row>
    <row r="632" spans="1:5" x14ac:dyDescent="0.35">
      <c r="A632" t="s">
        <v>636</v>
      </c>
      <c r="B632" t="s">
        <v>820</v>
      </c>
      <c r="C632" t="s">
        <v>145</v>
      </c>
      <c r="D632" t="s">
        <v>369</v>
      </c>
      <c r="E632" t="s">
        <v>191</v>
      </c>
    </row>
    <row r="633" spans="1:5" x14ac:dyDescent="0.35">
      <c r="A633" t="s">
        <v>636</v>
      </c>
      <c r="B633" t="s">
        <v>821</v>
      </c>
      <c r="C633" t="s">
        <v>207</v>
      </c>
      <c r="D633" t="s">
        <v>369</v>
      </c>
      <c r="E633" t="s">
        <v>191</v>
      </c>
    </row>
    <row r="634" spans="1:5" x14ac:dyDescent="0.35">
      <c r="A634" t="s">
        <v>636</v>
      </c>
      <c r="B634" t="s">
        <v>822</v>
      </c>
      <c r="C634" t="s">
        <v>145</v>
      </c>
      <c r="D634" t="s">
        <v>369</v>
      </c>
      <c r="E634" t="s">
        <v>191</v>
      </c>
    </row>
    <row r="635" spans="1:5" x14ac:dyDescent="0.35">
      <c r="A635" t="s">
        <v>636</v>
      </c>
      <c r="B635" t="s">
        <v>823</v>
      </c>
      <c r="C635" t="s">
        <v>207</v>
      </c>
      <c r="D635" t="s">
        <v>369</v>
      </c>
      <c r="E635" t="s">
        <v>191</v>
      </c>
    </row>
    <row r="636" spans="1:5" x14ac:dyDescent="0.35">
      <c r="A636" t="s">
        <v>636</v>
      </c>
      <c r="B636" t="s">
        <v>824</v>
      </c>
      <c r="C636" t="s">
        <v>145</v>
      </c>
      <c r="D636" t="s">
        <v>369</v>
      </c>
      <c r="E636" t="s">
        <v>191</v>
      </c>
    </row>
    <row r="637" spans="1:5" x14ac:dyDescent="0.35">
      <c r="A637" t="s">
        <v>636</v>
      </c>
      <c r="B637" t="s">
        <v>825</v>
      </c>
      <c r="C637" t="s">
        <v>145</v>
      </c>
      <c r="D637" t="s">
        <v>369</v>
      </c>
      <c r="E637" t="s">
        <v>191</v>
      </c>
    </row>
    <row r="638" spans="1:5" x14ac:dyDescent="0.35">
      <c r="A638" t="s">
        <v>636</v>
      </c>
      <c r="B638" t="s">
        <v>826</v>
      </c>
      <c r="C638" t="s">
        <v>207</v>
      </c>
      <c r="D638" t="s">
        <v>369</v>
      </c>
      <c r="E638" t="s">
        <v>191</v>
      </c>
    </row>
    <row r="639" spans="1:5" x14ac:dyDescent="0.35">
      <c r="A639" t="s">
        <v>636</v>
      </c>
      <c r="B639" t="s">
        <v>827</v>
      </c>
      <c r="C639" t="s">
        <v>145</v>
      </c>
      <c r="D639" t="s">
        <v>369</v>
      </c>
      <c r="E639" t="s">
        <v>191</v>
      </c>
    </row>
    <row r="640" spans="1:5" x14ac:dyDescent="0.35">
      <c r="A640" t="s">
        <v>636</v>
      </c>
      <c r="B640" t="s">
        <v>828</v>
      </c>
      <c r="C640" t="s">
        <v>207</v>
      </c>
      <c r="D640" t="s">
        <v>369</v>
      </c>
      <c r="E640" t="s">
        <v>191</v>
      </c>
    </row>
    <row r="641" spans="1:5" x14ac:dyDescent="0.35">
      <c r="A641" t="s">
        <v>636</v>
      </c>
      <c r="B641" t="s">
        <v>829</v>
      </c>
      <c r="C641" t="s">
        <v>145</v>
      </c>
      <c r="D641" t="s">
        <v>369</v>
      </c>
      <c r="E641" t="s">
        <v>191</v>
      </c>
    </row>
    <row r="642" spans="1:5" x14ac:dyDescent="0.35">
      <c r="A642" t="s">
        <v>636</v>
      </c>
      <c r="B642" t="s">
        <v>830</v>
      </c>
      <c r="C642" t="s">
        <v>145</v>
      </c>
      <c r="D642" t="s">
        <v>369</v>
      </c>
      <c r="E642" t="s">
        <v>191</v>
      </c>
    </row>
    <row r="643" spans="1:5" x14ac:dyDescent="0.35">
      <c r="A643" t="s">
        <v>636</v>
      </c>
      <c r="B643" t="s">
        <v>831</v>
      </c>
      <c r="C643" t="s">
        <v>145</v>
      </c>
      <c r="D643" t="s">
        <v>369</v>
      </c>
      <c r="E643" t="s">
        <v>191</v>
      </c>
    </row>
    <row r="644" spans="1:5" x14ac:dyDescent="0.35">
      <c r="A644" t="s">
        <v>636</v>
      </c>
      <c r="B644" t="s">
        <v>832</v>
      </c>
      <c r="C644" t="s">
        <v>145</v>
      </c>
      <c r="D644" t="s">
        <v>369</v>
      </c>
      <c r="E644" t="s">
        <v>191</v>
      </c>
    </row>
    <row r="645" spans="1:5" x14ac:dyDescent="0.35">
      <c r="A645" t="s">
        <v>636</v>
      </c>
      <c r="B645" t="s">
        <v>833</v>
      </c>
      <c r="C645" t="s">
        <v>145</v>
      </c>
      <c r="D645" t="s">
        <v>369</v>
      </c>
      <c r="E645" t="s">
        <v>196</v>
      </c>
    </row>
    <row r="646" spans="1:5" x14ac:dyDescent="0.35">
      <c r="A646" t="s">
        <v>636</v>
      </c>
      <c r="B646" t="s">
        <v>834</v>
      </c>
      <c r="C646" t="s">
        <v>145</v>
      </c>
      <c r="D646" t="s">
        <v>369</v>
      </c>
      <c r="E646" t="s">
        <v>196</v>
      </c>
    </row>
    <row r="647" spans="1:5" x14ac:dyDescent="0.35">
      <c r="A647" t="s">
        <v>636</v>
      </c>
      <c r="B647" t="s">
        <v>835</v>
      </c>
      <c r="C647" t="s">
        <v>312</v>
      </c>
      <c r="D647" t="s">
        <v>369</v>
      </c>
      <c r="E647" t="s">
        <v>149</v>
      </c>
    </row>
    <row r="648" spans="1:5" x14ac:dyDescent="0.35">
      <c r="A648" t="s">
        <v>636</v>
      </c>
      <c r="B648" t="s">
        <v>836</v>
      </c>
      <c r="C648" t="s">
        <v>473</v>
      </c>
      <c r="D648" t="s">
        <v>369</v>
      </c>
      <c r="E648" t="s">
        <v>156</v>
      </c>
    </row>
    <row r="649" spans="1:5" x14ac:dyDescent="0.35">
      <c r="A649" t="s">
        <v>636</v>
      </c>
      <c r="B649" t="s">
        <v>837</v>
      </c>
      <c r="C649" t="s">
        <v>312</v>
      </c>
      <c r="D649" t="s">
        <v>369</v>
      </c>
      <c r="E649" t="s">
        <v>167</v>
      </c>
    </row>
    <row r="650" spans="1:5" x14ac:dyDescent="0.35">
      <c r="A650" t="s">
        <v>636</v>
      </c>
      <c r="B650" t="s">
        <v>838</v>
      </c>
      <c r="C650" t="s">
        <v>839</v>
      </c>
      <c r="D650" t="s">
        <v>369</v>
      </c>
      <c r="E650" t="s">
        <v>173</v>
      </c>
    </row>
    <row r="651" spans="1:5" x14ac:dyDescent="0.35">
      <c r="A651" t="s">
        <v>636</v>
      </c>
      <c r="B651" t="s">
        <v>840</v>
      </c>
      <c r="C651" t="s">
        <v>841</v>
      </c>
      <c r="D651" t="s">
        <v>369</v>
      </c>
      <c r="E651" t="s">
        <v>191</v>
      </c>
    </row>
    <row r="652" spans="1:5" x14ac:dyDescent="0.35">
      <c r="A652" t="s">
        <v>636</v>
      </c>
      <c r="B652" t="s">
        <v>842</v>
      </c>
      <c r="C652" t="s">
        <v>843</v>
      </c>
      <c r="D652" t="s">
        <v>369</v>
      </c>
      <c r="E652" t="s">
        <v>156</v>
      </c>
    </row>
    <row r="653" spans="1:5" x14ac:dyDescent="0.35">
      <c r="A653" t="s">
        <v>636</v>
      </c>
      <c r="B653" t="s">
        <v>844</v>
      </c>
      <c r="C653" t="s">
        <v>145</v>
      </c>
      <c r="D653" t="s">
        <v>369</v>
      </c>
      <c r="E653" t="s">
        <v>167</v>
      </c>
    </row>
    <row r="654" spans="1:5" x14ac:dyDescent="0.35">
      <c r="A654" t="s">
        <v>636</v>
      </c>
      <c r="B654" t="s">
        <v>845</v>
      </c>
      <c r="C654" t="s">
        <v>145</v>
      </c>
      <c r="D654" t="s">
        <v>369</v>
      </c>
      <c r="E654" t="s">
        <v>183</v>
      </c>
    </row>
    <row r="655" spans="1:5" x14ac:dyDescent="0.35">
      <c r="A655" t="s">
        <v>636</v>
      </c>
      <c r="B655" t="s">
        <v>846</v>
      </c>
      <c r="C655" t="s">
        <v>141</v>
      </c>
      <c r="D655" t="s">
        <v>209</v>
      </c>
      <c r="E655" t="s">
        <v>189</v>
      </c>
    </row>
    <row r="656" spans="1:5" x14ac:dyDescent="0.35">
      <c r="A656" t="s">
        <v>636</v>
      </c>
      <c r="B656" t="s">
        <v>847</v>
      </c>
      <c r="C656" t="s">
        <v>239</v>
      </c>
      <c r="D656" t="s">
        <v>447</v>
      </c>
      <c r="E656" t="s">
        <v>149</v>
      </c>
    </row>
    <row r="657" spans="1:5" x14ac:dyDescent="0.35">
      <c r="A657" t="s">
        <v>636</v>
      </c>
      <c r="B657" t="s">
        <v>848</v>
      </c>
      <c r="C657" t="s">
        <v>217</v>
      </c>
      <c r="D657" t="s">
        <v>447</v>
      </c>
      <c r="E657" t="s">
        <v>162</v>
      </c>
    </row>
    <row r="658" spans="1:5" x14ac:dyDescent="0.35">
      <c r="A658" t="s">
        <v>636</v>
      </c>
      <c r="B658" t="s">
        <v>849</v>
      </c>
      <c r="C658" t="s">
        <v>239</v>
      </c>
      <c r="D658" t="s">
        <v>447</v>
      </c>
      <c r="E658" t="s">
        <v>170</v>
      </c>
    </row>
    <row r="659" spans="1:5" x14ac:dyDescent="0.35">
      <c r="A659" t="s">
        <v>636</v>
      </c>
      <c r="B659" t="s">
        <v>850</v>
      </c>
      <c r="C659" t="s">
        <v>145</v>
      </c>
      <c r="D659" t="s">
        <v>447</v>
      </c>
      <c r="E659" t="s">
        <v>178</v>
      </c>
    </row>
    <row r="660" spans="1:5" x14ac:dyDescent="0.35">
      <c r="A660" t="s">
        <v>636</v>
      </c>
      <c r="B660" t="s">
        <v>851</v>
      </c>
      <c r="C660" t="s">
        <v>217</v>
      </c>
      <c r="D660" t="s">
        <v>447</v>
      </c>
      <c r="E660" t="s">
        <v>189</v>
      </c>
    </row>
    <row r="661" spans="1:5" x14ac:dyDescent="0.35">
      <c r="A661" t="s">
        <v>636</v>
      </c>
      <c r="B661" t="s">
        <v>852</v>
      </c>
      <c r="C661" t="s">
        <v>145</v>
      </c>
      <c r="D661" t="s">
        <v>618</v>
      </c>
      <c r="E661" t="s">
        <v>156</v>
      </c>
    </row>
    <row r="662" spans="1:5" x14ac:dyDescent="0.35">
      <c r="A662" t="s">
        <v>636</v>
      </c>
      <c r="B662" t="s">
        <v>853</v>
      </c>
      <c r="C662" t="s">
        <v>145</v>
      </c>
      <c r="D662" t="s">
        <v>618</v>
      </c>
      <c r="E662" t="s">
        <v>356</v>
      </c>
    </row>
    <row r="663" spans="1:5" x14ac:dyDescent="0.35">
      <c r="A663" t="s">
        <v>636</v>
      </c>
      <c r="B663" t="s">
        <v>854</v>
      </c>
      <c r="C663" t="s">
        <v>145</v>
      </c>
      <c r="D663" t="s">
        <v>618</v>
      </c>
      <c r="E663" t="s">
        <v>170</v>
      </c>
    </row>
    <row r="664" spans="1:5" x14ac:dyDescent="0.35">
      <c r="A664" t="s">
        <v>636</v>
      </c>
      <c r="B664" t="s">
        <v>855</v>
      </c>
      <c r="C664" t="s">
        <v>145</v>
      </c>
      <c r="D664" t="s">
        <v>618</v>
      </c>
      <c r="E664" t="s">
        <v>173</v>
      </c>
    </row>
    <row r="665" spans="1:5" x14ac:dyDescent="0.35">
      <c r="A665" t="s">
        <v>636</v>
      </c>
      <c r="B665" t="s">
        <v>856</v>
      </c>
      <c r="C665" t="s">
        <v>145</v>
      </c>
      <c r="D665" t="s">
        <v>618</v>
      </c>
      <c r="E665" t="s">
        <v>178</v>
      </c>
    </row>
    <row r="666" spans="1:5" x14ac:dyDescent="0.35">
      <c r="A666" t="s">
        <v>636</v>
      </c>
      <c r="B666" t="s">
        <v>857</v>
      </c>
      <c r="C666" t="s">
        <v>145</v>
      </c>
      <c r="D666" t="s">
        <v>475</v>
      </c>
      <c r="E666" t="s">
        <v>143</v>
      </c>
    </row>
    <row r="667" spans="1:5" x14ac:dyDescent="0.35">
      <c r="A667" t="s">
        <v>636</v>
      </c>
      <c r="B667" t="s">
        <v>858</v>
      </c>
      <c r="C667" t="s">
        <v>145</v>
      </c>
      <c r="D667" t="s">
        <v>475</v>
      </c>
      <c r="E667" t="s">
        <v>149</v>
      </c>
    </row>
    <row r="668" spans="1:5" x14ac:dyDescent="0.35">
      <c r="A668" t="s">
        <v>636</v>
      </c>
      <c r="B668" t="s">
        <v>859</v>
      </c>
      <c r="C668" t="s">
        <v>217</v>
      </c>
      <c r="D668" t="s">
        <v>475</v>
      </c>
      <c r="E668" t="s">
        <v>149</v>
      </c>
    </row>
    <row r="669" spans="1:5" x14ac:dyDescent="0.35">
      <c r="A669" t="s">
        <v>636</v>
      </c>
      <c r="B669" t="s">
        <v>860</v>
      </c>
      <c r="C669" t="s">
        <v>145</v>
      </c>
      <c r="D669" t="s">
        <v>475</v>
      </c>
      <c r="E669" t="s">
        <v>153</v>
      </c>
    </row>
    <row r="670" spans="1:5" x14ac:dyDescent="0.35">
      <c r="A670" t="s">
        <v>636</v>
      </c>
      <c r="B670" t="s">
        <v>861</v>
      </c>
      <c r="C670" t="s">
        <v>217</v>
      </c>
      <c r="D670" t="s">
        <v>475</v>
      </c>
      <c r="E670" t="s">
        <v>162</v>
      </c>
    </row>
    <row r="671" spans="1:5" x14ac:dyDescent="0.35">
      <c r="A671" t="s">
        <v>636</v>
      </c>
      <c r="B671" t="s">
        <v>862</v>
      </c>
      <c r="C671" t="s">
        <v>145</v>
      </c>
      <c r="D671" t="s">
        <v>475</v>
      </c>
      <c r="E671" t="s">
        <v>165</v>
      </c>
    </row>
    <row r="672" spans="1:5" x14ac:dyDescent="0.35">
      <c r="A672" t="s">
        <v>636</v>
      </c>
      <c r="B672" t="s">
        <v>863</v>
      </c>
      <c r="C672" t="s">
        <v>145</v>
      </c>
      <c r="D672" t="s">
        <v>475</v>
      </c>
      <c r="E672" t="s">
        <v>167</v>
      </c>
    </row>
    <row r="673" spans="1:5" x14ac:dyDescent="0.35">
      <c r="A673" t="s">
        <v>636</v>
      </c>
      <c r="B673" t="s">
        <v>864</v>
      </c>
      <c r="C673" t="s">
        <v>145</v>
      </c>
      <c r="D673" t="s">
        <v>475</v>
      </c>
      <c r="E673" t="s">
        <v>167</v>
      </c>
    </row>
    <row r="674" spans="1:5" x14ac:dyDescent="0.35">
      <c r="A674" t="s">
        <v>636</v>
      </c>
      <c r="B674" t="s">
        <v>865</v>
      </c>
      <c r="C674" t="s">
        <v>145</v>
      </c>
      <c r="D674" t="s">
        <v>475</v>
      </c>
      <c r="E674" t="s">
        <v>178</v>
      </c>
    </row>
    <row r="675" spans="1:5" x14ac:dyDescent="0.35">
      <c r="A675" t="s">
        <v>636</v>
      </c>
      <c r="B675" t="s">
        <v>866</v>
      </c>
      <c r="C675" t="s">
        <v>145</v>
      </c>
      <c r="D675" t="s">
        <v>475</v>
      </c>
      <c r="E675" t="s">
        <v>178</v>
      </c>
    </row>
    <row r="676" spans="1:5" x14ac:dyDescent="0.35">
      <c r="A676" t="s">
        <v>636</v>
      </c>
      <c r="B676" t="s">
        <v>867</v>
      </c>
      <c r="C676" t="s">
        <v>145</v>
      </c>
      <c r="D676" t="s">
        <v>475</v>
      </c>
      <c r="E676" t="s">
        <v>183</v>
      </c>
    </row>
    <row r="677" spans="1:5" x14ac:dyDescent="0.35">
      <c r="A677" t="s">
        <v>636</v>
      </c>
      <c r="B677" t="s">
        <v>868</v>
      </c>
      <c r="C677" t="s">
        <v>145</v>
      </c>
      <c r="D677" t="s">
        <v>475</v>
      </c>
      <c r="E677" t="s">
        <v>183</v>
      </c>
    </row>
    <row r="678" spans="1:5" x14ac:dyDescent="0.35">
      <c r="A678" t="s">
        <v>636</v>
      </c>
      <c r="B678" t="s">
        <v>869</v>
      </c>
      <c r="C678" t="s">
        <v>239</v>
      </c>
      <c r="D678" t="s">
        <v>475</v>
      </c>
      <c r="E678" t="s">
        <v>183</v>
      </c>
    </row>
    <row r="679" spans="1:5" x14ac:dyDescent="0.35">
      <c r="A679" t="s">
        <v>636</v>
      </c>
      <c r="B679" t="s">
        <v>870</v>
      </c>
      <c r="C679" t="s">
        <v>145</v>
      </c>
      <c r="D679" t="s">
        <v>475</v>
      </c>
      <c r="E679" t="s">
        <v>189</v>
      </c>
    </row>
    <row r="680" spans="1:5" x14ac:dyDescent="0.35">
      <c r="A680" t="s">
        <v>636</v>
      </c>
      <c r="B680" t="s">
        <v>871</v>
      </c>
      <c r="C680" t="s">
        <v>145</v>
      </c>
      <c r="D680" t="s">
        <v>475</v>
      </c>
      <c r="E680" t="s">
        <v>191</v>
      </c>
    </row>
    <row r="681" spans="1:5" x14ac:dyDescent="0.35">
      <c r="A681" t="s">
        <v>636</v>
      </c>
      <c r="B681" t="s">
        <v>872</v>
      </c>
      <c r="C681" t="s">
        <v>145</v>
      </c>
      <c r="D681" t="s">
        <v>475</v>
      </c>
      <c r="E681" t="s">
        <v>170</v>
      </c>
    </row>
    <row r="682" spans="1:5" x14ac:dyDescent="0.35">
      <c r="A682" t="s">
        <v>636</v>
      </c>
      <c r="B682" t="s">
        <v>873</v>
      </c>
      <c r="C682" t="s">
        <v>141</v>
      </c>
      <c r="D682" t="s">
        <v>489</v>
      </c>
      <c r="E682" t="s">
        <v>149</v>
      </c>
    </row>
    <row r="683" spans="1:5" x14ac:dyDescent="0.35">
      <c r="A683" t="s">
        <v>636</v>
      </c>
      <c r="B683" t="s">
        <v>874</v>
      </c>
      <c r="C683" t="s">
        <v>145</v>
      </c>
      <c r="D683" t="s">
        <v>489</v>
      </c>
      <c r="E683" t="s">
        <v>183</v>
      </c>
    </row>
    <row r="684" spans="1:5" x14ac:dyDescent="0.35">
      <c r="A684" t="s">
        <v>636</v>
      </c>
      <c r="B684" t="s">
        <v>875</v>
      </c>
      <c r="C684" t="s">
        <v>145</v>
      </c>
      <c r="D684" t="s">
        <v>213</v>
      </c>
      <c r="E684" t="s">
        <v>214</v>
      </c>
    </row>
    <row r="685" spans="1:5" x14ac:dyDescent="0.35">
      <c r="A685" t="s">
        <v>636</v>
      </c>
      <c r="B685" t="s">
        <v>876</v>
      </c>
      <c r="C685" t="s">
        <v>145</v>
      </c>
      <c r="D685" t="s">
        <v>213</v>
      </c>
      <c r="E685" t="s">
        <v>214</v>
      </c>
    </row>
    <row r="686" spans="1:5" x14ac:dyDescent="0.35">
      <c r="A686" t="s">
        <v>636</v>
      </c>
      <c r="B686" t="s">
        <v>877</v>
      </c>
      <c r="C686" t="s">
        <v>145</v>
      </c>
      <c r="D686" t="s">
        <v>213</v>
      </c>
      <c r="E686" t="s">
        <v>214</v>
      </c>
    </row>
    <row r="687" spans="1:5" x14ac:dyDescent="0.35">
      <c r="A687" t="s">
        <v>636</v>
      </c>
      <c r="B687" t="s">
        <v>878</v>
      </c>
      <c r="C687" t="s">
        <v>145</v>
      </c>
      <c r="D687" t="s">
        <v>213</v>
      </c>
      <c r="E687" t="s">
        <v>143</v>
      </c>
    </row>
    <row r="688" spans="1:5" x14ac:dyDescent="0.35">
      <c r="A688" t="s">
        <v>636</v>
      </c>
      <c r="B688" t="s">
        <v>879</v>
      </c>
      <c r="C688" t="s">
        <v>145</v>
      </c>
      <c r="D688" t="s">
        <v>213</v>
      </c>
      <c r="E688" t="s">
        <v>143</v>
      </c>
    </row>
    <row r="689" spans="1:5" x14ac:dyDescent="0.35">
      <c r="A689" t="s">
        <v>636</v>
      </c>
      <c r="B689" t="s">
        <v>880</v>
      </c>
      <c r="C689" t="s">
        <v>217</v>
      </c>
      <c r="D689" t="s">
        <v>213</v>
      </c>
      <c r="E689" t="s">
        <v>143</v>
      </c>
    </row>
    <row r="690" spans="1:5" x14ac:dyDescent="0.35">
      <c r="A690" t="s">
        <v>636</v>
      </c>
      <c r="B690" t="s">
        <v>881</v>
      </c>
      <c r="C690" t="s">
        <v>141</v>
      </c>
      <c r="D690" t="s">
        <v>213</v>
      </c>
      <c r="E690" t="s">
        <v>149</v>
      </c>
    </row>
    <row r="691" spans="1:5" x14ac:dyDescent="0.35">
      <c r="A691" t="s">
        <v>636</v>
      </c>
      <c r="B691" t="s">
        <v>882</v>
      </c>
      <c r="C691" t="s">
        <v>145</v>
      </c>
      <c r="D691" t="s">
        <v>213</v>
      </c>
      <c r="E691" t="s">
        <v>153</v>
      </c>
    </row>
    <row r="692" spans="1:5" x14ac:dyDescent="0.35">
      <c r="A692" t="s">
        <v>636</v>
      </c>
      <c r="B692" t="s">
        <v>883</v>
      </c>
      <c r="C692" t="s">
        <v>141</v>
      </c>
      <c r="D692" t="s">
        <v>213</v>
      </c>
      <c r="E692" t="s">
        <v>153</v>
      </c>
    </row>
    <row r="693" spans="1:5" x14ac:dyDescent="0.35">
      <c r="A693" t="s">
        <v>636</v>
      </c>
      <c r="B693" t="s">
        <v>884</v>
      </c>
      <c r="C693" t="s">
        <v>141</v>
      </c>
      <c r="D693" t="s">
        <v>213</v>
      </c>
      <c r="E693" t="s">
        <v>153</v>
      </c>
    </row>
    <row r="694" spans="1:5" x14ac:dyDescent="0.35">
      <c r="A694" t="s">
        <v>636</v>
      </c>
      <c r="B694" t="s">
        <v>885</v>
      </c>
      <c r="C694" t="s">
        <v>141</v>
      </c>
      <c r="D694" t="s">
        <v>213</v>
      </c>
      <c r="E694" t="s">
        <v>153</v>
      </c>
    </row>
    <row r="695" spans="1:5" x14ac:dyDescent="0.35">
      <c r="A695" t="s">
        <v>636</v>
      </c>
      <c r="B695" t="s">
        <v>886</v>
      </c>
      <c r="C695" t="s">
        <v>141</v>
      </c>
      <c r="D695" t="s">
        <v>213</v>
      </c>
      <c r="E695" t="s">
        <v>153</v>
      </c>
    </row>
    <row r="696" spans="1:5" x14ac:dyDescent="0.35">
      <c r="A696" t="s">
        <v>636</v>
      </c>
      <c r="B696" t="s">
        <v>887</v>
      </c>
      <c r="C696" t="s">
        <v>141</v>
      </c>
      <c r="D696" t="s">
        <v>213</v>
      </c>
      <c r="E696" t="s">
        <v>156</v>
      </c>
    </row>
    <row r="697" spans="1:5" x14ac:dyDescent="0.35">
      <c r="A697" t="s">
        <v>636</v>
      </c>
      <c r="B697" t="s">
        <v>888</v>
      </c>
      <c r="C697" t="s">
        <v>145</v>
      </c>
      <c r="D697" t="s">
        <v>213</v>
      </c>
      <c r="E697" t="s">
        <v>156</v>
      </c>
    </row>
    <row r="698" spans="1:5" x14ac:dyDescent="0.35">
      <c r="A698" t="s">
        <v>636</v>
      </c>
      <c r="B698" t="s">
        <v>889</v>
      </c>
      <c r="C698" t="s">
        <v>141</v>
      </c>
      <c r="D698" t="s">
        <v>213</v>
      </c>
      <c r="E698" t="s">
        <v>156</v>
      </c>
    </row>
    <row r="699" spans="1:5" x14ac:dyDescent="0.35">
      <c r="A699" t="s">
        <v>636</v>
      </c>
      <c r="B699" t="s">
        <v>890</v>
      </c>
      <c r="C699" t="s">
        <v>145</v>
      </c>
      <c r="D699" t="s">
        <v>213</v>
      </c>
      <c r="E699" t="s">
        <v>162</v>
      </c>
    </row>
    <row r="700" spans="1:5" x14ac:dyDescent="0.35">
      <c r="A700" t="s">
        <v>636</v>
      </c>
      <c r="B700" t="s">
        <v>891</v>
      </c>
      <c r="C700" t="s">
        <v>145</v>
      </c>
      <c r="D700" t="s">
        <v>213</v>
      </c>
      <c r="E700" t="s">
        <v>162</v>
      </c>
    </row>
    <row r="701" spans="1:5" x14ac:dyDescent="0.35">
      <c r="A701" t="s">
        <v>636</v>
      </c>
      <c r="B701" t="s">
        <v>892</v>
      </c>
      <c r="C701" t="s">
        <v>145</v>
      </c>
      <c r="D701" t="s">
        <v>213</v>
      </c>
      <c r="E701" t="s">
        <v>162</v>
      </c>
    </row>
    <row r="702" spans="1:5" x14ac:dyDescent="0.35">
      <c r="A702" t="s">
        <v>636</v>
      </c>
      <c r="B702" t="s">
        <v>893</v>
      </c>
      <c r="C702" t="s">
        <v>145</v>
      </c>
      <c r="D702" t="s">
        <v>213</v>
      </c>
      <c r="E702" t="s">
        <v>162</v>
      </c>
    </row>
    <row r="703" spans="1:5" x14ac:dyDescent="0.35">
      <c r="A703" t="s">
        <v>636</v>
      </c>
      <c r="B703" t="s">
        <v>894</v>
      </c>
      <c r="C703" t="s">
        <v>141</v>
      </c>
      <c r="D703" t="s">
        <v>213</v>
      </c>
      <c r="E703" t="s">
        <v>162</v>
      </c>
    </row>
    <row r="704" spans="1:5" x14ac:dyDescent="0.35">
      <c r="A704" t="s">
        <v>636</v>
      </c>
      <c r="B704" t="s">
        <v>895</v>
      </c>
      <c r="C704" t="s">
        <v>145</v>
      </c>
      <c r="D704" t="s">
        <v>213</v>
      </c>
      <c r="E704" t="s">
        <v>165</v>
      </c>
    </row>
    <row r="705" spans="1:5" x14ac:dyDescent="0.35">
      <c r="A705" t="s">
        <v>636</v>
      </c>
      <c r="B705" t="s">
        <v>896</v>
      </c>
      <c r="C705" t="s">
        <v>141</v>
      </c>
      <c r="D705" t="s">
        <v>213</v>
      </c>
      <c r="E705" t="s">
        <v>165</v>
      </c>
    </row>
    <row r="706" spans="1:5" x14ac:dyDescent="0.35">
      <c r="A706" t="s">
        <v>636</v>
      </c>
      <c r="B706" t="s">
        <v>897</v>
      </c>
      <c r="C706" t="s">
        <v>141</v>
      </c>
      <c r="D706" t="s">
        <v>213</v>
      </c>
      <c r="E706" t="s">
        <v>165</v>
      </c>
    </row>
    <row r="707" spans="1:5" x14ac:dyDescent="0.35">
      <c r="A707" t="s">
        <v>636</v>
      </c>
      <c r="B707" t="s">
        <v>898</v>
      </c>
      <c r="C707" t="s">
        <v>145</v>
      </c>
      <c r="D707" t="s">
        <v>213</v>
      </c>
      <c r="E707" t="s">
        <v>356</v>
      </c>
    </row>
    <row r="708" spans="1:5" x14ac:dyDescent="0.35">
      <c r="A708" t="s">
        <v>636</v>
      </c>
      <c r="B708" t="s">
        <v>899</v>
      </c>
      <c r="C708" t="s">
        <v>145</v>
      </c>
      <c r="D708" t="s">
        <v>213</v>
      </c>
      <c r="E708" t="s">
        <v>356</v>
      </c>
    </row>
    <row r="709" spans="1:5" x14ac:dyDescent="0.35">
      <c r="A709" t="s">
        <v>636</v>
      </c>
      <c r="B709" t="s">
        <v>900</v>
      </c>
      <c r="C709" t="s">
        <v>145</v>
      </c>
      <c r="D709" t="s">
        <v>213</v>
      </c>
      <c r="E709" t="s">
        <v>356</v>
      </c>
    </row>
    <row r="710" spans="1:5" x14ac:dyDescent="0.35">
      <c r="A710" t="s">
        <v>636</v>
      </c>
      <c r="B710" t="s">
        <v>901</v>
      </c>
      <c r="C710" t="s">
        <v>145</v>
      </c>
      <c r="D710" t="s">
        <v>213</v>
      </c>
      <c r="E710" t="s">
        <v>167</v>
      </c>
    </row>
    <row r="711" spans="1:5" x14ac:dyDescent="0.35">
      <c r="A711" t="s">
        <v>636</v>
      </c>
      <c r="B711" t="s">
        <v>902</v>
      </c>
      <c r="C711" t="s">
        <v>141</v>
      </c>
      <c r="D711" t="s">
        <v>213</v>
      </c>
      <c r="E711" t="s">
        <v>167</v>
      </c>
    </row>
    <row r="712" spans="1:5" x14ac:dyDescent="0.35">
      <c r="A712" t="s">
        <v>636</v>
      </c>
      <c r="B712" t="s">
        <v>903</v>
      </c>
      <c r="C712" t="s">
        <v>145</v>
      </c>
      <c r="D712" t="s">
        <v>213</v>
      </c>
      <c r="E712" t="s">
        <v>170</v>
      </c>
    </row>
    <row r="713" spans="1:5" x14ac:dyDescent="0.35">
      <c r="A713" t="s">
        <v>636</v>
      </c>
      <c r="B713" t="s">
        <v>904</v>
      </c>
      <c r="C713" t="s">
        <v>145</v>
      </c>
      <c r="D713" t="s">
        <v>213</v>
      </c>
      <c r="E713" t="s">
        <v>173</v>
      </c>
    </row>
    <row r="714" spans="1:5" x14ac:dyDescent="0.35">
      <c r="A714" t="s">
        <v>636</v>
      </c>
      <c r="B714" t="s">
        <v>905</v>
      </c>
      <c r="C714" t="s">
        <v>141</v>
      </c>
      <c r="D714" t="s">
        <v>213</v>
      </c>
      <c r="E714" t="s">
        <v>178</v>
      </c>
    </row>
    <row r="715" spans="1:5" x14ac:dyDescent="0.35">
      <c r="A715" t="s">
        <v>636</v>
      </c>
      <c r="B715" t="s">
        <v>906</v>
      </c>
      <c r="C715" t="s">
        <v>145</v>
      </c>
      <c r="D715" t="s">
        <v>213</v>
      </c>
      <c r="E715" t="s">
        <v>178</v>
      </c>
    </row>
    <row r="716" spans="1:5" x14ac:dyDescent="0.35">
      <c r="A716" t="s">
        <v>636</v>
      </c>
      <c r="B716" t="s">
        <v>907</v>
      </c>
      <c r="C716" t="s">
        <v>145</v>
      </c>
      <c r="D716" t="s">
        <v>213</v>
      </c>
      <c r="E716" t="s">
        <v>178</v>
      </c>
    </row>
    <row r="717" spans="1:5" x14ac:dyDescent="0.35">
      <c r="A717" t="s">
        <v>636</v>
      </c>
      <c r="B717" t="s">
        <v>908</v>
      </c>
      <c r="C717" t="s">
        <v>141</v>
      </c>
      <c r="D717" t="s">
        <v>213</v>
      </c>
      <c r="E717" t="s">
        <v>178</v>
      </c>
    </row>
    <row r="718" spans="1:5" x14ac:dyDescent="0.35">
      <c r="A718" t="s">
        <v>636</v>
      </c>
      <c r="B718" t="s">
        <v>909</v>
      </c>
      <c r="C718" t="s">
        <v>145</v>
      </c>
      <c r="D718" t="s">
        <v>213</v>
      </c>
      <c r="E718" t="s">
        <v>183</v>
      </c>
    </row>
    <row r="719" spans="1:5" x14ac:dyDescent="0.35">
      <c r="A719" t="s">
        <v>636</v>
      </c>
      <c r="B719" t="s">
        <v>910</v>
      </c>
      <c r="C719" t="s">
        <v>145</v>
      </c>
      <c r="D719" t="s">
        <v>213</v>
      </c>
      <c r="E719" t="s">
        <v>189</v>
      </c>
    </row>
    <row r="720" spans="1:5" x14ac:dyDescent="0.35">
      <c r="A720" t="s">
        <v>636</v>
      </c>
      <c r="B720" t="s">
        <v>911</v>
      </c>
      <c r="C720" t="s">
        <v>145</v>
      </c>
      <c r="D720" t="s">
        <v>213</v>
      </c>
      <c r="E720" t="s">
        <v>301</v>
      </c>
    </row>
    <row r="721" spans="1:5" x14ac:dyDescent="0.35">
      <c r="A721" t="s">
        <v>636</v>
      </c>
      <c r="B721" t="s">
        <v>912</v>
      </c>
      <c r="C721" t="s">
        <v>141</v>
      </c>
      <c r="D721" t="s">
        <v>213</v>
      </c>
      <c r="E721" t="s">
        <v>191</v>
      </c>
    </row>
    <row r="722" spans="1:5" x14ac:dyDescent="0.35">
      <c r="A722" t="s">
        <v>636</v>
      </c>
      <c r="B722" t="s">
        <v>913</v>
      </c>
      <c r="C722" t="s">
        <v>312</v>
      </c>
      <c r="D722" t="s">
        <v>213</v>
      </c>
      <c r="E722" t="s">
        <v>167</v>
      </c>
    </row>
    <row r="723" spans="1:5" x14ac:dyDescent="0.35">
      <c r="A723" t="s">
        <v>636</v>
      </c>
      <c r="B723" t="s">
        <v>914</v>
      </c>
      <c r="C723" t="s">
        <v>915</v>
      </c>
      <c r="D723" t="s">
        <v>213</v>
      </c>
      <c r="E723" t="s">
        <v>183</v>
      </c>
    </row>
    <row r="724" spans="1:5" x14ac:dyDescent="0.35">
      <c r="A724" t="s">
        <v>636</v>
      </c>
      <c r="B724" t="s">
        <v>916</v>
      </c>
      <c r="C724" t="s">
        <v>207</v>
      </c>
      <c r="D724" t="s">
        <v>498</v>
      </c>
      <c r="E724" t="s">
        <v>162</v>
      </c>
    </row>
    <row r="725" spans="1:5" x14ac:dyDescent="0.35">
      <c r="A725" t="s">
        <v>636</v>
      </c>
      <c r="B725" t="s">
        <v>917</v>
      </c>
      <c r="C725" t="s">
        <v>145</v>
      </c>
      <c r="D725" t="s">
        <v>498</v>
      </c>
      <c r="E725" t="s">
        <v>301</v>
      </c>
    </row>
  </sheetData>
  <autoFilter ref="A1:E725" xr:uid="{EA06B9FB-70E2-4B0C-A4B3-9597D8592D03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7848F-8B58-498E-915D-5E682FD42C5D}">
  <dimension ref="A1:Y36"/>
  <sheetViews>
    <sheetView workbookViewId="0">
      <selection activeCell="X7" sqref="X7:Y7"/>
    </sheetView>
  </sheetViews>
  <sheetFormatPr defaultRowHeight="14.5" x14ac:dyDescent="0.35"/>
  <cols>
    <col min="1" max="1" width="17.90625" style="77" customWidth="1"/>
    <col min="2" max="2" width="9.08984375" style="77" bestFit="1" customWidth="1"/>
    <col min="3" max="16384" width="8.7265625" style="77"/>
  </cols>
  <sheetData>
    <row r="1" spans="1:25" x14ac:dyDescent="0.35">
      <c r="A1" s="75" t="s">
        <v>919</v>
      </c>
      <c r="B1" s="76">
        <v>45352</v>
      </c>
      <c r="C1" s="76">
        <v>45383</v>
      </c>
      <c r="D1" s="76">
        <v>45413</v>
      </c>
      <c r="E1" s="76">
        <v>45444</v>
      </c>
      <c r="F1" s="76">
        <v>45474</v>
      </c>
      <c r="G1" s="76">
        <v>45505</v>
      </c>
      <c r="H1" s="76">
        <v>45536</v>
      </c>
      <c r="I1" s="76">
        <v>45566</v>
      </c>
      <c r="J1" s="76">
        <v>45597</v>
      </c>
      <c r="K1" s="76">
        <v>45627</v>
      </c>
      <c r="L1" s="76">
        <v>45658</v>
      </c>
      <c r="M1" s="76">
        <v>45689</v>
      </c>
      <c r="N1" s="76">
        <v>45717</v>
      </c>
      <c r="O1" s="76">
        <v>45748</v>
      </c>
      <c r="P1" s="76">
        <v>45778</v>
      </c>
      <c r="Q1" s="76">
        <v>45809</v>
      </c>
      <c r="R1" s="76">
        <v>45839</v>
      </c>
      <c r="S1" s="76">
        <v>45870</v>
      </c>
      <c r="T1" s="76">
        <v>45901</v>
      </c>
      <c r="U1" s="76">
        <v>45931</v>
      </c>
      <c r="V1" s="76">
        <v>45962</v>
      </c>
      <c r="W1" s="76">
        <v>45992</v>
      </c>
      <c r="X1" s="76">
        <v>46023</v>
      </c>
      <c r="Y1" s="76">
        <v>46054</v>
      </c>
    </row>
    <row r="2" spans="1:25" x14ac:dyDescent="0.35">
      <c r="A2" s="78" t="s">
        <v>73</v>
      </c>
      <c r="B2" s="78" t="s">
        <v>75</v>
      </c>
      <c r="C2" s="78" t="s">
        <v>75</v>
      </c>
      <c r="D2" s="78" t="s">
        <v>75</v>
      </c>
      <c r="E2" s="78" t="s">
        <v>75</v>
      </c>
      <c r="F2" s="78" t="s">
        <v>75</v>
      </c>
      <c r="G2" s="78" t="s">
        <v>75</v>
      </c>
      <c r="H2" s="78" t="s">
        <v>75</v>
      </c>
      <c r="I2" s="78" t="s">
        <v>75</v>
      </c>
      <c r="J2" s="78" t="s">
        <v>75</v>
      </c>
      <c r="K2" s="78" t="s">
        <v>75</v>
      </c>
      <c r="L2" s="78" t="s">
        <v>75</v>
      </c>
      <c r="M2" s="78" t="s">
        <v>75</v>
      </c>
      <c r="N2" s="78" t="s">
        <v>75</v>
      </c>
      <c r="O2" s="78" t="s">
        <v>75</v>
      </c>
      <c r="P2" s="78" t="s">
        <v>75</v>
      </c>
      <c r="Q2" s="78" t="s">
        <v>75</v>
      </c>
      <c r="R2" s="78" t="s">
        <v>75</v>
      </c>
      <c r="S2" s="78" t="s">
        <v>75</v>
      </c>
      <c r="T2" s="78" t="s">
        <v>75</v>
      </c>
      <c r="U2" s="78" t="s">
        <v>75</v>
      </c>
      <c r="V2" s="78" t="s">
        <v>75</v>
      </c>
      <c r="W2" s="78" t="s">
        <v>75</v>
      </c>
      <c r="X2" s="78" t="s">
        <v>75</v>
      </c>
      <c r="Y2" s="78" t="s">
        <v>75</v>
      </c>
    </row>
    <row r="3" spans="1:25" x14ac:dyDescent="0.35">
      <c r="A3" s="79" t="s">
        <v>920</v>
      </c>
      <c r="B3" s="80">
        <v>0.24350687507345165</v>
      </c>
      <c r="C3" s="80">
        <v>0.27533436213991769</v>
      </c>
      <c r="D3" s="80">
        <v>0.24530946732801381</v>
      </c>
      <c r="E3" s="80">
        <v>0.25040544923775543</v>
      </c>
      <c r="F3" s="80">
        <v>0.21408250355618777</v>
      </c>
      <c r="G3" s="80">
        <v>0.25073659398939302</v>
      </c>
      <c r="H3" s="80">
        <v>0.2633832976445396</v>
      </c>
      <c r="I3" s="80">
        <v>0.26195739549839231</v>
      </c>
      <c r="J3" s="80">
        <v>0.22209076312008788</v>
      </c>
      <c r="K3" s="80">
        <v>0.22414226994379666</v>
      </c>
      <c r="L3" s="80">
        <v>0.22081778079402783</v>
      </c>
      <c r="M3" s="80">
        <v>0.22662609982731682</v>
      </c>
      <c r="N3" s="80">
        <v>0.22920843692357046</v>
      </c>
      <c r="O3" s="80">
        <v>0.2326768200303006</v>
      </c>
      <c r="P3" s="80">
        <v>0.23573701777536288</v>
      </c>
      <c r="Q3" s="80">
        <v>0.23825401636859656</v>
      </c>
      <c r="R3" s="80">
        <v>0.29516223326512714</v>
      </c>
      <c r="S3" s="80">
        <v>0.31546016733357585</v>
      </c>
      <c r="T3" s="80">
        <v>0.32354434051192804</v>
      </c>
      <c r="U3" s="80">
        <v>0.32757271886779032</v>
      </c>
      <c r="V3" s="80">
        <v>0.3298513740886147</v>
      </c>
      <c r="W3" s="80">
        <v>0.3354329618605939</v>
      </c>
      <c r="X3" s="80">
        <v>0.36779789357747644</v>
      </c>
      <c r="Y3" s="80">
        <v>0.37056116491517277</v>
      </c>
    </row>
    <row r="4" spans="1:25" x14ac:dyDescent="0.35">
      <c r="A4" s="79" t="s">
        <v>352</v>
      </c>
      <c r="B4" s="80">
        <v>0.19722927241962776</v>
      </c>
      <c r="C4" s="80">
        <v>0.32000658111220798</v>
      </c>
      <c r="D4" s="80">
        <v>0.26213346814964611</v>
      </c>
      <c r="E4" s="80">
        <v>0.27872611464968156</v>
      </c>
      <c r="F4" s="80">
        <v>0.24361228923140582</v>
      </c>
      <c r="G4" s="80">
        <v>0.26253256904637834</v>
      </c>
      <c r="H4" s="80">
        <v>0.27373483897950646</v>
      </c>
      <c r="I4" s="80">
        <v>0.2710382513661202</v>
      </c>
      <c r="J4" s="80">
        <v>0.24910363667406521</v>
      </c>
      <c r="K4" s="80">
        <v>0.25168247790480824</v>
      </c>
      <c r="L4" s="80">
        <v>0.2586673027989822</v>
      </c>
      <c r="M4" s="80">
        <v>0.26549707602339179</v>
      </c>
      <c r="N4" s="80">
        <v>0.26613563612000296</v>
      </c>
      <c r="O4" s="80">
        <v>0.2666130565099788</v>
      </c>
      <c r="P4" s="80">
        <v>0.27969069156696819</v>
      </c>
      <c r="Q4" s="80">
        <v>0.28622010260857</v>
      </c>
      <c r="R4" s="80">
        <v>0.29898947070878384</v>
      </c>
      <c r="S4" s="80">
        <v>0.30298979950756244</v>
      </c>
      <c r="T4" s="80">
        <v>0.28922810291961071</v>
      </c>
      <c r="U4" s="80">
        <v>0.2857142857142857</v>
      </c>
      <c r="V4" s="80">
        <v>0.29088140110413097</v>
      </c>
      <c r="W4" s="80">
        <v>0.28974647183714253</v>
      </c>
      <c r="X4" s="80">
        <v>0.29690976514215078</v>
      </c>
      <c r="Y4" s="80">
        <v>0.2970401038126429</v>
      </c>
    </row>
    <row r="5" spans="1:25" x14ac:dyDescent="0.35">
      <c r="A5" s="79" t="s">
        <v>503</v>
      </c>
      <c r="B5" s="80">
        <v>0.37071282657778731</v>
      </c>
      <c r="C5" s="80">
        <v>0.39719202898550726</v>
      </c>
      <c r="D5" s="80">
        <v>0.39898038346447967</v>
      </c>
      <c r="E5" s="80">
        <v>0.40644307149161518</v>
      </c>
      <c r="F5" s="80">
        <v>0.35784495548961426</v>
      </c>
      <c r="G5" s="80">
        <v>0.34359646249590564</v>
      </c>
      <c r="H5" s="80">
        <v>0.34932119339891066</v>
      </c>
      <c r="I5" s="80">
        <v>0.34987092610519521</v>
      </c>
      <c r="J5" s="80">
        <v>0.37377987209693708</v>
      </c>
      <c r="K5" s="80">
        <v>0.37511360819631495</v>
      </c>
      <c r="L5" s="80">
        <v>0.37714521452145217</v>
      </c>
      <c r="M5" s="80">
        <v>0.3807464360083293</v>
      </c>
      <c r="N5" s="80">
        <v>0.38485329103885807</v>
      </c>
      <c r="O5" s="80">
        <v>0.38827233372687919</v>
      </c>
      <c r="P5" s="80">
        <v>0.38693621257370397</v>
      </c>
      <c r="Q5" s="80">
        <v>0.38966957842764904</v>
      </c>
      <c r="R5" s="80">
        <v>0.39847439157282966</v>
      </c>
      <c r="S5" s="80">
        <v>0.41084093211752787</v>
      </c>
      <c r="T5" s="80">
        <v>0.4129148629148629</v>
      </c>
      <c r="U5" s="80">
        <v>0.41400683955542888</v>
      </c>
      <c r="V5" s="80">
        <v>0.42077201962038813</v>
      </c>
      <c r="W5" s="80">
        <v>0.41713415056444353</v>
      </c>
      <c r="X5" s="80">
        <v>0.41986121404028837</v>
      </c>
      <c r="Y5" s="80">
        <v>0.41663895723881095</v>
      </c>
    </row>
    <row r="6" spans="1:25" x14ac:dyDescent="0.35">
      <c r="A6" s="79" t="s">
        <v>636</v>
      </c>
      <c r="B6" s="80">
        <v>0.27001671930150473</v>
      </c>
      <c r="C6" s="80">
        <v>0.27627754336615096</v>
      </c>
      <c r="D6" s="80">
        <v>0.28386099662795056</v>
      </c>
      <c r="E6" s="80">
        <v>0.29143872445878338</v>
      </c>
      <c r="F6" s="80">
        <v>0.28220504619758352</v>
      </c>
      <c r="G6" s="80">
        <v>0.28024038871366463</v>
      </c>
      <c r="H6" s="80">
        <v>0.2852901255514082</v>
      </c>
      <c r="I6" s="80">
        <v>0.29261315833753998</v>
      </c>
      <c r="J6" s="80">
        <v>0.24538340083750945</v>
      </c>
      <c r="K6" s="80">
        <v>0.25439251068448543</v>
      </c>
      <c r="L6" s="80">
        <v>0.28844869797462719</v>
      </c>
      <c r="M6" s="80">
        <v>0.28664517694360681</v>
      </c>
      <c r="N6" s="80">
        <v>0.27983009396318703</v>
      </c>
      <c r="O6" s="80">
        <v>0.27376565954310977</v>
      </c>
      <c r="P6" s="80">
        <v>0.27447751362357026</v>
      </c>
      <c r="Q6" s="80">
        <v>0.2701241950321987</v>
      </c>
      <c r="R6" s="80">
        <v>0.31033149171270719</v>
      </c>
      <c r="S6" s="80">
        <v>0.31054427208273361</v>
      </c>
      <c r="T6" s="80">
        <v>0.31041087264522221</v>
      </c>
      <c r="U6" s="80">
        <v>0.30397384305835012</v>
      </c>
      <c r="V6" s="80">
        <v>0.2968168864415785</v>
      </c>
      <c r="W6" s="80">
        <v>0.29887512459063076</v>
      </c>
      <c r="X6" s="80">
        <v>0.30871639706738041</v>
      </c>
      <c r="Y6" s="80">
        <v>0.30485467901628871</v>
      </c>
    </row>
    <row r="7" spans="1:25" x14ac:dyDescent="0.35">
      <c r="A7" s="81" t="s">
        <v>42</v>
      </c>
      <c r="B7" s="82">
        <v>0.27048239681954178</v>
      </c>
      <c r="C7" s="82">
        <v>0.30641130498000729</v>
      </c>
      <c r="D7" s="82">
        <v>0.29456907970816426</v>
      </c>
      <c r="E7" s="82">
        <v>0.30328075709779179</v>
      </c>
      <c r="F7" s="82">
        <v>0.27623545036985114</v>
      </c>
      <c r="G7" s="82">
        <v>0.28571170943716073</v>
      </c>
      <c r="H7" s="82">
        <v>0.29365768896611644</v>
      </c>
      <c r="I7" s="82">
        <v>0.29595087656847913</v>
      </c>
      <c r="J7" s="82">
        <v>0.2654224424998064</v>
      </c>
      <c r="K7" s="82">
        <v>0.27059949270189404</v>
      </c>
      <c r="L7" s="82">
        <v>0.28692348917121152</v>
      </c>
      <c r="M7" s="82">
        <v>0.28926616709135594</v>
      </c>
      <c r="N7" s="82">
        <v>0.28714720928895787</v>
      </c>
      <c r="O7" s="82">
        <v>0.28553844432322045</v>
      </c>
      <c r="P7" s="82">
        <v>0.28872795969773302</v>
      </c>
      <c r="Q7" s="82">
        <v>0.28847487463992316</v>
      </c>
      <c r="R7" s="82">
        <v>0.32119537275064269</v>
      </c>
      <c r="S7" s="82">
        <v>0.32751967312348668</v>
      </c>
      <c r="T7" s="82">
        <v>0.32630901234415044</v>
      </c>
      <c r="U7" s="82">
        <v>0.32301907578823841</v>
      </c>
      <c r="V7" s="82">
        <v>0.32162908206231872</v>
      </c>
      <c r="W7" s="82">
        <v>0.32288195960385119</v>
      </c>
      <c r="X7" s="82">
        <v>0.33489239112014912</v>
      </c>
      <c r="Y7" s="82">
        <v>0.33287581042929038</v>
      </c>
    </row>
    <row r="9" spans="1:25" x14ac:dyDescent="0.35">
      <c r="A9" s="77" t="s">
        <v>921</v>
      </c>
    </row>
    <row r="12" spans="1:25" x14ac:dyDescent="0.35">
      <c r="A12" s="77" t="s">
        <v>918</v>
      </c>
      <c r="B12" s="77" t="s">
        <v>922</v>
      </c>
      <c r="C12" s="77" t="s">
        <v>75</v>
      </c>
    </row>
    <row r="13" spans="1:25" x14ac:dyDescent="0.35">
      <c r="A13" s="79" t="s">
        <v>920</v>
      </c>
      <c r="B13" s="83">
        <v>45352</v>
      </c>
      <c r="C13" s="77">
        <v>0.24350687507345165</v>
      </c>
    </row>
    <row r="14" spans="1:25" x14ac:dyDescent="0.35">
      <c r="A14" s="79" t="s">
        <v>920</v>
      </c>
      <c r="B14" s="83">
        <v>45383</v>
      </c>
      <c r="C14" s="77">
        <v>0.27533436213991769</v>
      </c>
    </row>
    <row r="15" spans="1:25" x14ac:dyDescent="0.35">
      <c r="A15" s="79" t="s">
        <v>920</v>
      </c>
      <c r="B15" s="83">
        <v>45413</v>
      </c>
      <c r="C15" s="77">
        <v>0.24530946732801381</v>
      </c>
    </row>
    <row r="16" spans="1:25" x14ac:dyDescent="0.35">
      <c r="A16" s="79" t="s">
        <v>920</v>
      </c>
      <c r="B16" s="83">
        <v>45444</v>
      </c>
      <c r="C16" s="77">
        <v>0.25040544923775543</v>
      </c>
    </row>
    <row r="17" spans="1:3" x14ac:dyDescent="0.35">
      <c r="A17" s="79" t="s">
        <v>920</v>
      </c>
      <c r="B17" s="83">
        <v>45474</v>
      </c>
      <c r="C17" s="77">
        <v>0.21408250355618777</v>
      </c>
    </row>
    <row r="18" spans="1:3" x14ac:dyDescent="0.35">
      <c r="A18" s="79" t="s">
        <v>920</v>
      </c>
      <c r="B18" s="83">
        <v>45505</v>
      </c>
      <c r="C18" s="77">
        <v>0.25073659398939302</v>
      </c>
    </row>
    <row r="19" spans="1:3" x14ac:dyDescent="0.35">
      <c r="A19" s="79" t="s">
        <v>920</v>
      </c>
      <c r="B19" s="83">
        <v>45536</v>
      </c>
      <c r="C19" s="77">
        <v>0.2633832976445396</v>
      </c>
    </row>
    <row r="20" spans="1:3" x14ac:dyDescent="0.35">
      <c r="A20" s="79" t="s">
        <v>920</v>
      </c>
      <c r="B20" s="83">
        <v>45566</v>
      </c>
      <c r="C20" s="77">
        <v>0.26195739549839231</v>
      </c>
    </row>
    <row r="21" spans="1:3" x14ac:dyDescent="0.35">
      <c r="A21" s="79" t="s">
        <v>920</v>
      </c>
      <c r="B21" s="83">
        <v>45597</v>
      </c>
      <c r="C21" s="77">
        <v>0.22209076312008788</v>
      </c>
    </row>
    <row r="22" spans="1:3" x14ac:dyDescent="0.35">
      <c r="A22" s="79" t="s">
        <v>920</v>
      </c>
      <c r="B22" s="83">
        <v>45627</v>
      </c>
      <c r="C22" s="77">
        <v>0.22414226994379666</v>
      </c>
    </row>
    <row r="23" spans="1:3" x14ac:dyDescent="0.35">
      <c r="A23" s="79" t="s">
        <v>920</v>
      </c>
      <c r="B23" s="83">
        <v>45658</v>
      </c>
      <c r="C23" s="77">
        <v>0.22081778079402783</v>
      </c>
    </row>
    <row r="24" spans="1:3" x14ac:dyDescent="0.35">
      <c r="A24" s="79" t="s">
        <v>920</v>
      </c>
      <c r="B24" s="83">
        <v>45689</v>
      </c>
      <c r="C24" s="77">
        <v>0.22662609982731682</v>
      </c>
    </row>
    <row r="25" spans="1:3" x14ac:dyDescent="0.35">
      <c r="A25" s="79" t="s">
        <v>920</v>
      </c>
      <c r="B25" s="83">
        <v>45717</v>
      </c>
      <c r="C25" s="77">
        <v>0.22920843692357046</v>
      </c>
    </row>
    <row r="26" spans="1:3" x14ac:dyDescent="0.35">
      <c r="A26" s="79" t="s">
        <v>920</v>
      </c>
      <c r="B26" s="83">
        <v>45748</v>
      </c>
      <c r="C26" s="77">
        <v>0.2326768200303006</v>
      </c>
    </row>
    <row r="27" spans="1:3" x14ac:dyDescent="0.35">
      <c r="A27" s="79" t="s">
        <v>920</v>
      </c>
      <c r="B27" s="83">
        <v>45778</v>
      </c>
      <c r="C27" s="77">
        <v>0.23573701777536288</v>
      </c>
    </row>
    <row r="28" spans="1:3" x14ac:dyDescent="0.35">
      <c r="A28" s="79" t="s">
        <v>920</v>
      </c>
      <c r="B28" s="83">
        <v>45809</v>
      </c>
      <c r="C28" s="77">
        <v>0.23825401636859656</v>
      </c>
    </row>
    <row r="29" spans="1:3" x14ac:dyDescent="0.35">
      <c r="A29" s="79" t="s">
        <v>920</v>
      </c>
      <c r="B29" s="83">
        <v>45839</v>
      </c>
      <c r="C29" s="77">
        <v>0.29516223326512714</v>
      </c>
    </row>
    <row r="30" spans="1:3" x14ac:dyDescent="0.35">
      <c r="A30" s="79" t="s">
        <v>920</v>
      </c>
      <c r="B30" s="83">
        <v>45870</v>
      </c>
      <c r="C30" s="77">
        <v>0.31546016733357585</v>
      </c>
    </row>
    <row r="31" spans="1:3" x14ac:dyDescent="0.35">
      <c r="A31" s="79" t="s">
        <v>920</v>
      </c>
      <c r="B31" s="83">
        <v>45901</v>
      </c>
      <c r="C31" s="77">
        <v>0.32354434051192804</v>
      </c>
    </row>
    <row r="32" spans="1:3" x14ac:dyDescent="0.35">
      <c r="A32" s="79" t="s">
        <v>920</v>
      </c>
      <c r="B32" s="83">
        <v>45931</v>
      </c>
      <c r="C32" s="77">
        <v>0.32757271886779032</v>
      </c>
    </row>
    <row r="33" spans="1:3" x14ac:dyDescent="0.35">
      <c r="A33" s="79" t="s">
        <v>920</v>
      </c>
      <c r="B33" s="83">
        <v>45962</v>
      </c>
      <c r="C33" s="77">
        <v>0.3298513740886147</v>
      </c>
    </row>
    <row r="34" spans="1:3" x14ac:dyDescent="0.35">
      <c r="A34" s="79" t="s">
        <v>920</v>
      </c>
      <c r="B34" s="83">
        <v>45992</v>
      </c>
      <c r="C34" s="77">
        <v>0.3354329618605939</v>
      </c>
    </row>
    <row r="35" spans="1:3" x14ac:dyDescent="0.35">
      <c r="A35" s="79" t="s">
        <v>920</v>
      </c>
      <c r="B35" s="83">
        <v>46023</v>
      </c>
      <c r="C35" s="77">
        <v>0.36779789357747644</v>
      </c>
    </row>
    <row r="36" spans="1:3" x14ac:dyDescent="0.35">
      <c r="A36" s="79" t="s">
        <v>920</v>
      </c>
      <c r="B36" s="83">
        <v>46054</v>
      </c>
      <c r="C36" s="77">
        <v>0.37056116491517277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986CA-A2E3-462A-B59B-6C9DCABA8462}">
  <dimension ref="B2:O29"/>
  <sheetViews>
    <sheetView showGridLines="0" zoomScale="80" zoomScaleNormal="80" workbookViewId="0">
      <selection activeCell="L35" sqref="L35"/>
    </sheetView>
  </sheetViews>
  <sheetFormatPr defaultRowHeight="14.5" x14ac:dyDescent="0.35"/>
  <cols>
    <col min="2" max="2" width="28.54296875" customWidth="1"/>
    <col min="3" max="15" width="12.453125" customWidth="1"/>
    <col min="16" max="17" width="12.7265625" customWidth="1"/>
  </cols>
  <sheetData>
    <row r="2" spans="2:15" x14ac:dyDescent="0.35"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 t="s">
        <v>36</v>
      </c>
      <c r="J2" s="16" t="s">
        <v>37</v>
      </c>
      <c r="K2" s="16" t="s">
        <v>38</v>
      </c>
      <c r="L2" s="16" t="s">
        <v>39</v>
      </c>
      <c r="M2" s="16" t="s">
        <v>40</v>
      </c>
      <c r="N2" s="16" t="s">
        <v>41</v>
      </c>
      <c r="O2" s="49" t="s">
        <v>42</v>
      </c>
    </row>
    <row r="3" spans="2:15" x14ac:dyDescent="0.35">
      <c r="B3" s="9" t="s">
        <v>102</v>
      </c>
      <c r="C3" s="61">
        <f>'AE Model'!D9</f>
        <v>3726</v>
      </c>
      <c r="D3" s="61">
        <f>'AE Model'!E9</f>
        <v>3726</v>
      </c>
      <c r="E3" s="61">
        <f>'AE Model'!F9</f>
        <v>3726</v>
      </c>
      <c r="F3" s="61">
        <f>'AE Model'!G9</f>
        <v>3726</v>
      </c>
      <c r="G3" s="61">
        <f>'AE Model'!H9</f>
        <v>3726</v>
      </c>
      <c r="H3" s="61">
        <f>'AE Model'!I9</f>
        <v>3726</v>
      </c>
      <c r="I3" s="61">
        <f>'AE Model'!J9</f>
        <v>3726</v>
      </c>
      <c r="J3" s="61">
        <f>'AE Model'!K9</f>
        <v>3726</v>
      </c>
      <c r="K3" s="61">
        <f>'AE Model'!L9</f>
        <v>3726</v>
      </c>
      <c r="L3" s="61">
        <f>'AE Model'!M9</f>
        <v>3726</v>
      </c>
      <c r="M3" s="61">
        <f>'AE Model'!N9</f>
        <v>3726</v>
      </c>
      <c r="N3" s="61">
        <f>'AE Model'!O9</f>
        <v>3726</v>
      </c>
      <c r="O3" s="67">
        <f>SUM(C3:N3)</f>
        <v>44712</v>
      </c>
    </row>
    <row r="4" spans="2:15" x14ac:dyDescent="0.35">
      <c r="B4" t="s">
        <v>104</v>
      </c>
      <c r="C4" s="11" t="s">
        <v>1021</v>
      </c>
      <c r="O4" s="68"/>
    </row>
    <row r="5" spans="2:15" x14ac:dyDescent="0.35">
      <c r="B5" s="12" t="s">
        <v>105</v>
      </c>
      <c r="C5" s="13">
        <f>'TSR Model'!F7</f>
        <v>1200</v>
      </c>
      <c r="D5" s="13">
        <f>'TSR Model'!G7</f>
        <v>1200</v>
      </c>
      <c r="E5" s="13">
        <f>'TSR Model'!H7</f>
        <v>1200</v>
      </c>
      <c r="F5" s="13">
        <f>'TSR Model'!I7</f>
        <v>1520</v>
      </c>
      <c r="G5" s="13">
        <f>'TSR Model'!J7</f>
        <v>1520</v>
      </c>
      <c r="H5" s="13">
        <f>'TSR Model'!K7</f>
        <v>1520</v>
      </c>
      <c r="I5" s="13">
        <f>'TSR Model'!L7</f>
        <v>1885</v>
      </c>
      <c r="J5" s="13">
        <f>'TSR Model'!M7</f>
        <v>1885</v>
      </c>
      <c r="K5" s="13">
        <f>'TSR Model'!N7</f>
        <v>1885</v>
      </c>
      <c r="L5" s="13">
        <f>'TSR Model'!O7</f>
        <v>1275</v>
      </c>
      <c r="M5" s="13">
        <f>'TSR Model'!P7</f>
        <v>1275</v>
      </c>
      <c r="N5" s="13">
        <f>'TSR Model'!Q7</f>
        <v>1275</v>
      </c>
      <c r="O5" s="134">
        <f>SUM(C5:N5)</f>
        <v>17640</v>
      </c>
    </row>
    <row r="7" spans="2:15" x14ac:dyDescent="0.35">
      <c r="D7" s="18" t="s">
        <v>60</v>
      </c>
      <c r="E7" s="17"/>
      <c r="F7" s="17"/>
      <c r="G7" s="18"/>
      <c r="H7" s="17"/>
      <c r="I7" s="20" t="s">
        <v>57</v>
      </c>
      <c r="J7" s="19"/>
    </row>
    <row r="8" spans="2:15" ht="29" x14ac:dyDescent="0.35">
      <c r="B8" s="8" t="s">
        <v>49</v>
      </c>
      <c r="C8" s="63" t="s">
        <v>45</v>
      </c>
      <c r="D8" s="63" t="s">
        <v>75</v>
      </c>
      <c r="E8" s="63" t="s">
        <v>76</v>
      </c>
      <c r="F8" s="64" t="s">
        <v>45</v>
      </c>
      <c r="G8" s="63" t="s">
        <v>75</v>
      </c>
      <c r="H8" s="63" t="s">
        <v>76</v>
      </c>
      <c r="I8" s="65" t="s">
        <v>58</v>
      </c>
      <c r="J8" s="66" t="s">
        <v>59</v>
      </c>
    </row>
    <row r="9" spans="2:15" ht="29" x14ac:dyDescent="0.35">
      <c r="B9" s="52" t="s">
        <v>80</v>
      </c>
      <c r="C9" s="52" t="s">
        <v>77</v>
      </c>
      <c r="D9" s="52" t="s">
        <v>81</v>
      </c>
      <c r="E9" s="52" t="s">
        <v>81</v>
      </c>
      <c r="F9" s="70" t="s">
        <v>61</v>
      </c>
      <c r="G9" s="71" t="s">
        <v>1518</v>
      </c>
      <c r="H9" s="71" t="s">
        <v>61</v>
      </c>
      <c r="I9" s="72" t="s">
        <v>50</v>
      </c>
      <c r="J9" s="73" t="s">
        <v>56</v>
      </c>
    </row>
    <row r="10" spans="2:15" x14ac:dyDescent="0.35">
      <c r="B10" t="s">
        <v>82</v>
      </c>
    </row>
    <row r="12" spans="2:15" x14ac:dyDescent="0.35">
      <c r="B12" t="s">
        <v>1508</v>
      </c>
      <c r="C12" s="40">
        <f>70000/12</f>
        <v>5833.333333333333</v>
      </c>
    </row>
    <row r="13" spans="2:15" x14ac:dyDescent="0.35">
      <c r="C13" s="15">
        <f>C12*0.5</f>
        <v>2916.6666666666665</v>
      </c>
      <c r="D13" s="15">
        <f>C12*0.25</f>
        <v>1458.3333333333333</v>
      </c>
      <c r="E13" s="15">
        <f>C12*0.25</f>
        <v>1458.3333333333333</v>
      </c>
    </row>
    <row r="15" spans="2:15" x14ac:dyDescent="0.35">
      <c r="B15" s="12"/>
      <c r="C15" s="8" t="s">
        <v>1039</v>
      </c>
      <c r="D15" s="12"/>
      <c r="E15" s="12"/>
      <c r="F15" s="12"/>
      <c r="G15" s="12"/>
      <c r="H15" s="12"/>
    </row>
    <row r="16" spans="2:15" x14ac:dyDescent="0.35">
      <c r="C16" t="s">
        <v>1000</v>
      </c>
      <c r="D16" t="s">
        <v>1037</v>
      </c>
      <c r="E16" t="s">
        <v>1038</v>
      </c>
      <c r="F16" t="s">
        <v>23</v>
      </c>
      <c r="G16" t="s">
        <v>926</v>
      </c>
      <c r="H16" t="s">
        <v>928</v>
      </c>
    </row>
    <row r="17" spans="2:8" x14ac:dyDescent="0.35">
      <c r="B17" t="s">
        <v>1036</v>
      </c>
      <c r="C17" s="61">
        <f>'AE Model'!D3</f>
        <v>3726</v>
      </c>
      <c r="D17" s="61">
        <f>'AE Jan Model'!E41</f>
        <v>2509</v>
      </c>
      <c r="E17" s="89">
        <f>D17/C17</f>
        <v>0.67337627482555018</v>
      </c>
      <c r="F17" s="15">
        <f>C13</f>
        <v>2916.6666666666665</v>
      </c>
      <c r="G17" s="15">
        <f>E17*F17</f>
        <v>1964.0141349078547</v>
      </c>
    </row>
    <row r="18" spans="2:8" x14ac:dyDescent="0.35">
      <c r="B18" t="s">
        <v>104</v>
      </c>
      <c r="C18" s="125">
        <f>'TSR Pen sample'!W7</f>
        <v>0.32288195960385119</v>
      </c>
      <c r="D18" s="125">
        <f>'TSR Pen sample'!X7</f>
        <v>0.33489239112014912</v>
      </c>
      <c r="E18" s="125">
        <f>D18/C18</f>
        <v>1.037197592367916</v>
      </c>
      <c r="F18" s="15">
        <f>D13</f>
        <v>1458.3333333333333</v>
      </c>
      <c r="G18" s="15">
        <f t="shared" ref="G18:G19" si="0">E18*F18</f>
        <v>1512.5798222032108</v>
      </c>
    </row>
    <row r="19" spans="2:8" x14ac:dyDescent="0.35">
      <c r="B19" s="12" t="s">
        <v>105</v>
      </c>
      <c r="C19" s="13">
        <f>C5</f>
        <v>1200</v>
      </c>
      <c r="D19" s="13">
        <f>'TSR Sales Feb Model'!S23</f>
        <v>1215</v>
      </c>
      <c r="E19" s="42">
        <f>D19/C19</f>
        <v>1.0125</v>
      </c>
      <c r="F19" s="99">
        <f>E13</f>
        <v>1458.3333333333333</v>
      </c>
      <c r="G19" s="99">
        <f t="shared" si="0"/>
        <v>1476.5624999999998</v>
      </c>
      <c r="H19" s="12"/>
    </row>
    <row r="20" spans="2:8" x14ac:dyDescent="0.35">
      <c r="F20" s="15">
        <f>SUM(F17:F19)</f>
        <v>5833.333333333333</v>
      </c>
      <c r="G20" s="15">
        <f>SUM(G17:G19)</f>
        <v>4953.1564571110657</v>
      </c>
      <c r="H20" s="89">
        <f>G20/F20</f>
        <v>0.84911253550475418</v>
      </c>
    </row>
    <row r="21" spans="2:8" x14ac:dyDescent="0.35">
      <c r="E21" t="s">
        <v>1041</v>
      </c>
      <c r="G21" s="15">
        <v>5328.8235648148147</v>
      </c>
    </row>
    <row r="22" spans="2:8" x14ac:dyDescent="0.35">
      <c r="E22" t="s">
        <v>1042</v>
      </c>
      <c r="G22" s="15">
        <f>G20-G21</f>
        <v>-375.66710770374902</v>
      </c>
    </row>
    <row r="23" spans="2:8" x14ac:dyDescent="0.35">
      <c r="G23" s="15"/>
    </row>
    <row r="24" spans="2:8" x14ac:dyDescent="0.35">
      <c r="B24" s="12"/>
      <c r="C24" s="8" t="s">
        <v>1040</v>
      </c>
      <c r="D24" s="12"/>
      <c r="E24" s="12"/>
      <c r="F24" s="12"/>
      <c r="G24" s="12"/>
      <c r="H24" s="12"/>
    </row>
    <row r="25" spans="2:8" x14ac:dyDescent="0.35">
      <c r="C25" t="s">
        <v>1000</v>
      </c>
      <c r="D25" t="s">
        <v>1037</v>
      </c>
      <c r="E25" t="s">
        <v>1038</v>
      </c>
      <c r="F25" t="s">
        <v>23</v>
      </c>
      <c r="G25" t="s">
        <v>926</v>
      </c>
      <c r="H25" t="s">
        <v>928</v>
      </c>
    </row>
    <row r="26" spans="2:8" x14ac:dyDescent="0.35">
      <c r="B26" t="s">
        <v>1036</v>
      </c>
      <c r="C26" s="61">
        <f>D3</f>
        <v>3726</v>
      </c>
      <c r="D26" s="61">
        <f>'AE Feb Model'!E28</f>
        <v>1157</v>
      </c>
      <c r="E26" s="89">
        <f>D26/C26</f>
        <v>0.31052066559312935</v>
      </c>
      <c r="F26" s="15">
        <f>F17</f>
        <v>2916.6666666666665</v>
      </c>
      <c r="G26" s="15">
        <f>E26*F26</f>
        <v>905.68527464662725</v>
      </c>
    </row>
    <row r="27" spans="2:8" x14ac:dyDescent="0.35">
      <c r="B27" t="s">
        <v>104</v>
      </c>
      <c r="C27" s="125">
        <f>'TSR Pen sample'!X7</f>
        <v>0.33489239112014912</v>
      </c>
      <c r="D27" s="125">
        <f>'TSR Pen sample'!Y7</f>
        <v>0.33287581042929038</v>
      </c>
      <c r="E27" s="125">
        <f>D27/C27</f>
        <v>0.9939784218921377</v>
      </c>
      <c r="F27" s="15">
        <f t="shared" ref="F27:F28" si="1">F18</f>
        <v>1458.3333333333333</v>
      </c>
      <c r="G27" s="15">
        <f t="shared" ref="G27:G28" si="2">E27*F27</f>
        <v>1449.5518652593673</v>
      </c>
    </row>
    <row r="28" spans="2:8" x14ac:dyDescent="0.35">
      <c r="B28" s="12" t="s">
        <v>105</v>
      </c>
      <c r="C28" s="13">
        <f>D5</f>
        <v>1200</v>
      </c>
      <c r="D28" s="13">
        <f>'TSR Sales Feb Model'!I23</f>
        <v>724</v>
      </c>
      <c r="E28" s="42">
        <f>D28/C28</f>
        <v>0.60333333333333339</v>
      </c>
      <c r="F28" s="99">
        <f t="shared" si="1"/>
        <v>1458.3333333333333</v>
      </c>
      <c r="G28" s="99">
        <f t="shared" si="2"/>
        <v>879.8611111111112</v>
      </c>
      <c r="H28" s="12"/>
    </row>
    <row r="29" spans="2:8" x14ac:dyDescent="0.35">
      <c r="F29" s="15">
        <f>SUM(F26:F28)</f>
        <v>5833.333333333333</v>
      </c>
      <c r="G29" s="15">
        <f>SUM(G26:G28)</f>
        <v>3235.0982510171061</v>
      </c>
      <c r="H29" s="89">
        <f>G29/F29</f>
        <v>0.55458827160293256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F58EA-B5A4-4EC6-A20F-877045887EAE}">
  <dimension ref="A1:P25"/>
  <sheetViews>
    <sheetView workbookViewId="0">
      <selection activeCell="O28" sqref="O28"/>
    </sheetView>
  </sheetViews>
  <sheetFormatPr defaultRowHeight="14.5" x14ac:dyDescent="0.35"/>
  <cols>
    <col min="1" max="16" width="21.81640625" customWidth="1"/>
  </cols>
  <sheetData>
    <row r="1" spans="1:16" x14ac:dyDescent="0.35">
      <c r="A1" s="14" t="s">
        <v>1048</v>
      </c>
      <c r="B1" s="14" t="s">
        <v>1049</v>
      </c>
      <c r="C1" s="14" t="s">
        <v>1050</v>
      </c>
      <c r="D1" s="137">
        <v>45658</v>
      </c>
      <c r="E1" s="137">
        <v>45689</v>
      </c>
      <c r="F1" s="137">
        <v>45717</v>
      </c>
      <c r="G1" s="137">
        <v>45748</v>
      </c>
      <c r="H1" s="137">
        <v>45778</v>
      </c>
      <c r="I1" s="137">
        <v>45809</v>
      </c>
      <c r="J1" s="137">
        <v>45839</v>
      </c>
      <c r="K1" s="137">
        <v>45870</v>
      </c>
      <c r="L1" s="137">
        <v>45901</v>
      </c>
      <c r="M1" s="137">
        <v>45931</v>
      </c>
      <c r="N1" s="137">
        <v>45962</v>
      </c>
      <c r="O1" s="137">
        <v>45992</v>
      </c>
      <c r="P1" s="137">
        <v>46023</v>
      </c>
    </row>
    <row r="2" spans="1:16" ht="15" customHeight="1" x14ac:dyDescent="0.35">
      <c r="A2" s="138" t="s">
        <v>125</v>
      </c>
      <c r="B2" t="s">
        <v>1051</v>
      </c>
      <c r="C2" t="s">
        <v>1052</v>
      </c>
      <c r="D2" s="139">
        <v>4316.67</v>
      </c>
      <c r="E2" s="139">
        <v>4316.67</v>
      </c>
      <c r="F2" s="139">
        <v>4316.67</v>
      </c>
      <c r="G2" s="40">
        <v>4750</v>
      </c>
      <c r="H2" s="40">
        <v>4750</v>
      </c>
      <c r="I2" s="40">
        <v>4300</v>
      </c>
      <c r="J2" s="40">
        <v>4750</v>
      </c>
      <c r="K2" s="40">
        <v>5000</v>
      </c>
      <c r="L2" s="40">
        <v>750</v>
      </c>
      <c r="M2" s="40">
        <v>4250</v>
      </c>
      <c r="N2" s="40">
        <v>2000</v>
      </c>
      <c r="O2" s="40">
        <v>2500</v>
      </c>
      <c r="P2" s="40">
        <v>8000</v>
      </c>
    </row>
    <row r="3" spans="1:16" ht="15" customHeight="1" x14ac:dyDescent="0.35">
      <c r="A3" s="138" t="s">
        <v>117</v>
      </c>
      <c r="B3" t="s">
        <v>1051</v>
      </c>
      <c r="C3" t="s">
        <v>1052</v>
      </c>
      <c r="D3" s="139">
        <v>1833.34</v>
      </c>
      <c r="E3" s="139">
        <v>1833.34</v>
      </c>
      <c r="F3" s="139">
        <v>1833.34</v>
      </c>
      <c r="G3" s="40">
        <v>3333.33</v>
      </c>
      <c r="H3" s="40">
        <v>3750</v>
      </c>
      <c r="I3" s="40">
        <v>2666.66</v>
      </c>
      <c r="J3" s="40">
        <v>6750</v>
      </c>
      <c r="K3" s="40">
        <v>9600</v>
      </c>
      <c r="L3" s="40">
        <v>4550</v>
      </c>
      <c r="M3" s="40">
        <v>6050</v>
      </c>
      <c r="N3" s="40">
        <v>3750</v>
      </c>
      <c r="O3" s="40"/>
      <c r="P3" s="40">
        <v>10300</v>
      </c>
    </row>
    <row r="4" spans="1:16" ht="15" customHeight="1" x14ac:dyDescent="0.35">
      <c r="A4" s="138" t="s">
        <v>942</v>
      </c>
      <c r="B4" t="s">
        <v>1051</v>
      </c>
      <c r="C4" t="s">
        <v>1052</v>
      </c>
      <c r="D4" s="139"/>
      <c r="E4" s="40"/>
      <c r="F4" s="40"/>
      <c r="G4" s="40"/>
      <c r="H4" s="40">
        <v>3333.33</v>
      </c>
      <c r="I4" s="40">
        <v>2666.66</v>
      </c>
      <c r="J4" s="40">
        <v>2000</v>
      </c>
      <c r="K4" s="40">
        <v>2250</v>
      </c>
      <c r="L4" s="40">
        <v>3750</v>
      </c>
      <c r="M4" s="40">
        <v>500</v>
      </c>
      <c r="N4" s="40">
        <v>1750</v>
      </c>
      <c r="O4" s="40"/>
      <c r="P4" s="40">
        <v>2750</v>
      </c>
    </row>
    <row r="5" spans="1:16" ht="15" customHeight="1" x14ac:dyDescent="0.35">
      <c r="A5" s="138" t="s">
        <v>114</v>
      </c>
      <c r="B5" t="s">
        <v>1051</v>
      </c>
      <c r="C5" t="s">
        <v>1052</v>
      </c>
      <c r="D5" s="139">
        <v>3766.66</v>
      </c>
      <c r="E5" s="139">
        <v>3766.66</v>
      </c>
      <c r="F5" s="139">
        <v>3766.66</v>
      </c>
      <c r="G5" s="40">
        <v>2500</v>
      </c>
      <c r="H5" s="40">
        <v>7000</v>
      </c>
      <c r="I5" s="40">
        <v>2250</v>
      </c>
      <c r="J5" s="40">
        <v>2250</v>
      </c>
      <c r="K5" s="40">
        <v>2250</v>
      </c>
      <c r="L5" s="40">
        <v>14300</v>
      </c>
      <c r="M5" s="40">
        <v>4750</v>
      </c>
      <c r="N5" s="40"/>
      <c r="O5" s="40">
        <v>7500</v>
      </c>
      <c r="P5" s="40"/>
    </row>
    <row r="6" spans="1:16" ht="15" customHeight="1" x14ac:dyDescent="0.35">
      <c r="A6" s="138" t="s">
        <v>943</v>
      </c>
      <c r="B6" t="s">
        <v>1051</v>
      </c>
      <c r="C6" t="s">
        <v>1052</v>
      </c>
      <c r="D6" s="139">
        <v>3333.33</v>
      </c>
      <c r="E6" s="40">
        <v>3333.33</v>
      </c>
      <c r="F6" s="40">
        <v>3333.33</v>
      </c>
      <c r="G6" s="40">
        <v>2000</v>
      </c>
      <c r="H6" s="40">
        <v>4000</v>
      </c>
      <c r="I6" s="40"/>
      <c r="J6" s="40"/>
      <c r="K6" s="40">
        <v>5000</v>
      </c>
      <c r="L6" s="40">
        <v>4500</v>
      </c>
      <c r="M6" s="40">
        <v>4550</v>
      </c>
      <c r="N6" s="40">
        <v>750</v>
      </c>
      <c r="O6" s="40">
        <v>2250</v>
      </c>
      <c r="P6" s="40">
        <v>2500</v>
      </c>
    </row>
    <row r="7" spans="1:16" ht="15" customHeight="1" x14ac:dyDescent="0.35">
      <c r="A7" s="138" t="s">
        <v>940</v>
      </c>
      <c r="B7" t="s">
        <v>1051</v>
      </c>
      <c r="C7" t="s">
        <v>1052</v>
      </c>
      <c r="D7" s="139">
        <v>1666.67</v>
      </c>
      <c r="E7" s="139">
        <v>1666.67</v>
      </c>
      <c r="F7" s="139">
        <v>1666.67</v>
      </c>
      <c r="G7" s="40">
        <v>3750</v>
      </c>
      <c r="H7" s="40">
        <v>2250</v>
      </c>
      <c r="I7" s="40"/>
      <c r="J7" s="40">
        <v>6250</v>
      </c>
      <c r="K7" s="40">
        <v>2500</v>
      </c>
      <c r="L7" s="40">
        <v>1750</v>
      </c>
      <c r="M7" s="40">
        <v>8250</v>
      </c>
      <c r="N7" s="40">
        <v>10000</v>
      </c>
      <c r="O7" s="40">
        <v>750</v>
      </c>
      <c r="P7" s="40">
        <v>3250</v>
      </c>
    </row>
    <row r="8" spans="1:16" ht="15" customHeight="1" x14ac:dyDescent="0.35">
      <c r="A8" s="138" t="s">
        <v>941</v>
      </c>
      <c r="B8" t="s">
        <v>1051</v>
      </c>
      <c r="C8" t="s">
        <v>1052</v>
      </c>
      <c r="D8" s="139"/>
      <c r="E8" s="40">
        <v>3000</v>
      </c>
      <c r="F8" s="40">
        <v>3000</v>
      </c>
      <c r="G8" s="40">
        <v>3000</v>
      </c>
      <c r="H8" s="40">
        <v>3000</v>
      </c>
      <c r="I8" s="40">
        <v>2400</v>
      </c>
      <c r="J8" s="40">
        <v>1800</v>
      </c>
      <c r="K8" s="40">
        <v>3000</v>
      </c>
      <c r="L8" s="40">
        <v>750</v>
      </c>
      <c r="M8" s="40">
        <v>2500</v>
      </c>
      <c r="N8" s="40">
        <v>4000</v>
      </c>
      <c r="O8" s="40"/>
      <c r="P8" s="40">
        <v>4000</v>
      </c>
    </row>
    <row r="9" spans="1:16" ht="15" customHeight="1" x14ac:dyDescent="0.35">
      <c r="A9" s="138" t="s">
        <v>111</v>
      </c>
      <c r="B9" t="s">
        <v>1051</v>
      </c>
      <c r="C9" t="s">
        <v>1052</v>
      </c>
      <c r="D9" s="139">
        <v>5266.66</v>
      </c>
      <c r="E9" s="139">
        <v>5266.66</v>
      </c>
      <c r="F9" s="139">
        <v>5266.66</v>
      </c>
      <c r="G9" s="40">
        <v>21100</v>
      </c>
      <c r="H9" s="40">
        <v>6250</v>
      </c>
      <c r="I9" s="40">
        <v>5550</v>
      </c>
      <c r="J9" s="40">
        <v>4850</v>
      </c>
      <c r="K9" s="40">
        <v>6050</v>
      </c>
      <c r="L9" s="40">
        <v>8300</v>
      </c>
      <c r="M9" s="40">
        <v>4500</v>
      </c>
      <c r="N9" s="40">
        <v>13100</v>
      </c>
      <c r="O9" s="40">
        <v>2500</v>
      </c>
      <c r="P9" s="40">
        <v>11050</v>
      </c>
    </row>
    <row r="10" spans="1:16" ht="15" customHeight="1" x14ac:dyDescent="0.35">
      <c r="A10" s="138" t="s">
        <v>120</v>
      </c>
      <c r="B10" t="s">
        <v>1051</v>
      </c>
      <c r="C10" t="s">
        <v>1053</v>
      </c>
      <c r="D10" s="139"/>
      <c r="E10" s="40"/>
      <c r="F10" s="40"/>
      <c r="G10" s="40">
        <v>2400</v>
      </c>
      <c r="H10" s="40"/>
      <c r="I10" s="40"/>
      <c r="J10" s="40"/>
      <c r="K10" s="40">
        <v>180</v>
      </c>
      <c r="L10" s="40">
        <v>3500</v>
      </c>
      <c r="M10" s="40">
        <v>4550</v>
      </c>
      <c r="N10" s="40"/>
      <c r="O10" s="40">
        <v>1250</v>
      </c>
      <c r="P10" s="40"/>
    </row>
    <row r="11" spans="1:16" ht="15" customHeight="1" x14ac:dyDescent="0.35">
      <c r="A11" s="138" t="s">
        <v>1054</v>
      </c>
      <c r="B11" t="s">
        <v>1051</v>
      </c>
      <c r="C11" t="s">
        <v>1055</v>
      </c>
      <c r="D11" s="139">
        <v>4632.71</v>
      </c>
      <c r="E11" s="139">
        <v>4632.71</v>
      </c>
      <c r="F11" s="139">
        <v>4632.71</v>
      </c>
      <c r="G11" s="40">
        <v>6240.45</v>
      </c>
      <c r="H11" s="40">
        <v>7214.34</v>
      </c>
      <c r="I11" s="40">
        <v>6498.33</v>
      </c>
      <c r="J11" s="40">
        <v>8350</v>
      </c>
      <c r="K11" s="40">
        <v>7804.74</v>
      </c>
      <c r="L11" s="40">
        <v>5474.92</v>
      </c>
      <c r="M11" s="40">
        <v>5160.04</v>
      </c>
      <c r="N11" s="40">
        <v>4347.4799999999996</v>
      </c>
      <c r="O11" s="40">
        <v>3487.11</v>
      </c>
      <c r="P11" s="40">
        <v>5328.82</v>
      </c>
    </row>
    <row r="12" spans="1:16" ht="15" customHeight="1" x14ac:dyDescent="0.35">
      <c r="A12" s="138" t="s">
        <v>636</v>
      </c>
      <c r="B12" t="s">
        <v>1051</v>
      </c>
      <c r="C12" s="140" t="s">
        <v>1056</v>
      </c>
      <c r="D12" s="139">
        <v>4583.33</v>
      </c>
      <c r="E12" s="40">
        <v>4583.33</v>
      </c>
      <c r="F12" s="40">
        <v>4583.33</v>
      </c>
      <c r="G12" s="40">
        <v>10125</v>
      </c>
      <c r="H12" s="40">
        <v>5236.67</v>
      </c>
      <c r="I12" s="40">
        <v>6289.09</v>
      </c>
      <c r="J12" s="40">
        <v>8603.64</v>
      </c>
      <c r="K12" s="40">
        <v>5749</v>
      </c>
      <c r="L12" s="40">
        <v>4252.17</v>
      </c>
      <c r="M12" s="141">
        <v>4416.67</v>
      </c>
      <c r="N12" s="40">
        <v>4182.17</v>
      </c>
      <c r="O12" s="40">
        <v>4435.33</v>
      </c>
      <c r="P12" s="40">
        <v>4284.83</v>
      </c>
    </row>
    <row r="13" spans="1:16" ht="15" customHeight="1" x14ac:dyDescent="0.35">
      <c r="A13" s="140" t="s">
        <v>1057</v>
      </c>
      <c r="B13" s="140" t="s">
        <v>1051</v>
      </c>
      <c r="C13" s="140" t="s">
        <v>1058</v>
      </c>
      <c r="D13" s="40">
        <v>2083</v>
      </c>
      <c r="E13" s="40">
        <v>4166.67</v>
      </c>
      <c r="F13" s="40">
        <v>4166.67</v>
      </c>
      <c r="G13" s="40">
        <v>2310.46</v>
      </c>
      <c r="H13" s="40">
        <v>4166.67</v>
      </c>
      <c r="I13" s="40">
        <v>2083</v>
      </c>
      <c r="J13" s="40">
        <v>4166.66</v>
      </c>
      <c r="K13" s="40">
        <v>4837.49</v>
      </c>
      <c r="L13" s="40">
        <v>3831.24</v>
      </c>
      <c r="M13" s="40">
        <v>368.41</v>
      </c>
      <c r="N13" s="40">
        <v>3441.14</v>
      </c>
      <c r="O13" s="40">
        <v>3635.58</v>
      </c>
      <c r="P13" s="40">
        <v>3603.99</v>
      </c>
    </row>
    <row r="14" spans="1:16" ht="15" customHeight="1" x14ac:dyDescent="0.35">
      <c r="A14" s="138" t="s">
        <v>1059</v>
      </c>
      <c r="B14" t="s">
        <v>1051</v>
      </c>
      <c r="C14" t="s">
        <v>1060</v>
      </c>
      <c r="D14" s="139"/>
      <c r="E14" s="40">
        <v>4583.33</v>
      </c>
      <c r="F14" s="40">
        <v>4583.33</v>
      </c>
      <c r="G14" s="40">
        <v>5275</v>
      </c>
      <c r="H14" s="40">
        <v>7430</v>
      </c>
      <c r="I14" s="40">
        <v>6243.33</v>
      </c>
      <c r="J14" s="40">
        <v>8110</v>
      </c>
      <c r="K14" s="40">
        <v>4444.4399999999996</v>
      </c>
      <c r="L14" s="40">
        <v>4444.4399999999996</v>
      </c>
      <c r="M14" s="40">
        <v>4629.63</v>
      </c>
      <c r="N14" s="40">
        <v>4074.07</v>
      </c>
      <c r="O14" s="142" t="s">
        <v>1061</v>
      </c>
      <c r="P14" s="142"/>
    </row>
    <row r="15" spans="1:16" ht="15" customHeight="1" x14ac:dyDescent="0.35">
      <c r="A15" s="138" t="s">
        <v>1062</v>
      </c>
      <c r="B15" t="s">
        <v>1051</v>
      </c>
      <c r="C15" t="s">
        <v>1063</v>
      </c>
      <c r="D15" s="139">
        <v>2083</v>
      </c>
      <c r="E15" s="139">
        <v>2083</v>
      </c>
      <c r="F15" s="139">
        <v>2083</v>
      </c>
      <c r="G15" s="40">
        <v>3083</v>
      </c>
      <c r="H15" s="40">
        <v>1145.6500000000001</v>
      </c>
      <c r="I15" s="40">
        <v>2083</v>
      </c>
      <c r="J15" s="40">
        <v>2083</v>
      </c>
      <c r="K15" s="143" t="s">
        <v>1064</v>
      </c>
      <c r="L15" s="143"/>
      <c r="M15" s="143"/>
      <c r="N15" s="142"/>
      <c r="O15" s="142"/>
      <c r="P15" s="142"/>
    </row>
    <row r="16" spans="1:16" ht="15" customHeight="1" x14ac:dyDescent="0.35">
      <c r="A16" s="138" t="s">
        <v>1065</v>
      </c>
      <c r="B16" t="s">
        <v>1051</v>
      </c>
      <c r="C16" t="s">
        <v>1063</v>
      </c>
      <c r="D16" s="40">
        <v>2083</v>
      </c>
      <c r="E16" s="40">
        <v>2083</v>
      </c>
      <c r="F16" s="40">
        <v>2083</v>
      </c>
      <c r="G16" s="40">
        <v>3083</v>
      </c>
      <c r="H16" s="40">
        <v>1145.6500000000001</v>
      </c>
      <c r="I16" s="40">
        <v>2083</v>
      </c>
      <c r="J16" s="40">
        <v>2083</v>
      </c>
      <c r="K16" s="143" t="s">
        <v>1064</v>
      </c>
      <c r="L16" s="143"/>
      <c r="M16" s="143"/>
      <c r="N16" s="142"/>
      <c r="O16" s="142"/>
      <c r="P16" s="142"/>
    </row>
    <row r="17" spans="1:16" ht="15" customHeight="1" x14ac:dyDescent="0.35">
      <c r="A17" s="138" t="s">
        <v>1066</v>
      </c>
      <c r="B17" t="s">
        <v>1051</v>
      </c>
      <c r="C17" t="s">
        <v>1063</v>
      </c>
      <c r="D17" s="40">
        <v>2083</v>
      </c>
      <c r="E17" s="40">
        <v>2083</v>
      </c>
      <c r="F17" s="40">
        <v>2083</v>
      </c>
      <c r="G17" s="40">
        <v>2333</v>
      </c>
      <c r="H17" s="40">
        <v>2791.26</v>
      </c>
      <c r="I17" s="40">
        <v>2083</v>
      </c>
      <c r="J17" s="40">
        <v>2083</v>
      </c>
      <c r="K17" s="143" t="s">
        <v>1064</v>
      </c>
      <c r="L17" s="143"/>
      <c r="M17" s="143"/>
      <c r="N17" s="142"/>
      <c r="O17" s="142"/>
      <c r="P17" s="142"/>
    </row>
    <row r="18" spans="1:16" ht="15" customHeight="1" x14ac:dyDescent="0.35">
      <c r="A18" s="138" t="s">
        <v>1067</v>
      </c>
      <c r="B18" t="s">
        <v>1051</v>
      </c>
      <c r="C18" t="s">
        <v>1063</v>
      </c>
      <c r="D18" s="40">
        <v>2083</v>
      </c>
      <c r="E18" s="40">
        <v>2083</v>
      </c>
      <c r="F18" s="40">
        <v>2083</v>
      </c>
      <c r="G18" s="40">
        <v>2333</v>
      </c>
      <c r="H18" s="40">
        <v>2791.26</v>
      </c>
      <c r="I18" s="40">
        <v>2083</v>
      </c>
      <c r="J18" s="40">
        <v>2083</v>
      </c>
      <c r="K18" s="143" t="s">
        <v>1064</v>
      </c>
      <c r="L18" s="143"/>
      <c r="M18" s="143"/>
      <c r="N18" s="142"/>
      <c r="O18" s="142"/>
      <c r="P18" s="142"/>
    </row>
    <row r="19" spans="1:16" ht="15" customHeight="1" x14ac:dyDescent="0.35">
      <c r="A19" s="138" t="s">
        <v>1068</v>
      </c>
      <c r="B19" t="s">
        <v>1051</v>
      </c>
      <c r="C19" t="s">
        <v>1063</v>
      </c>
      <c r="D19" s="40">
        <v>2083</v>
      </c>
      <c r="E19" s="40">
        <v>2083</v>
      </c>
      <c r="F19" s="40">
        <v>2083</v>
      </c>
      <c r="G19" s="40">
        <v>1157.2</v>
      </c>
      <c r="H19" s="40">
        <v>2333</v>
      </c>
      <c r="I19" s="40">
        <v>2083</v>
      </c>
      <c r="J19" s="40">
        <v>2083</v>
      </c>
      <c r="K19" s="143" t="s">
        <v>1064</v>
      </c>
      <c r="L19" s="143"/>
      <c r="M19" s="143"/>
      <c r="N19" s="142"/>
      <c r="O19" s="142"/>
      <c r="P19" s="142"/>
    </row>
    <row r="20" spans="1:16" ht="15" customHeight="1" x14ac:dyDescent="0.35">
      <c r="A20" s="138" t="s">
        <v>1069</v>
      </c>
      <c r="B20" t="s">
        <v>1051</v>
      </c>
      <c r="C20" t="s">
        <v>1063</v>
      </c>
      <c r="D20" s="40">
        <v>2083</v>
      </c>
      <c r="E20" s="40">
        <v>2083</v>
      </c>
      <c r="F20" s="40">
        <v>2083</v>
      </c>
      <c r="G20" s="40">
        <v>1157.2</v>
      </c>
      <c r="H20" s="40">
        <v>2333</v>
      </c>
      <c r="I20" s="40">
        <v>2083</v>
      </c>
      <c r="J20" s="40">
        <v>2083</v>
      </c>
      <c r="K20" s="143" t="s">
        <v>1064</v>
      </c>
      <c r="L20" s="143"/>
      <c r="M20" s="143"/>
      <c r="N20" s="142"/>
      <c r="O20" s="142"/>
      <c r="P20" s="142"/>
    </row>
    <row r="21" spans="1:16" ht="15" customHeight="1" x14ac:dyDescent="0.35">
      <c r="A21" s="138" t="s">
        <v>920</v>
      </c>
      <c r="B21" t="s">
        <v>1051</v>
      </c>
      <c r="C21" t="s">
        <v>73</v>
      </c>
      <c r="D21" s="139"/>
      <c r="E21" s="40"/>
      <c r="F21" s="40"/>
      <c r="G21" s="40"/>
      <c r="H21" s="40">
        <v>2500</v>
      </c>
      <c r="I21" s="40">
        <v>4853</v>
      </c>
      <c r="J21" s="40">
        <v>8856</v>
      </c>
      <c r="K21" s="40">
        <v>6378</v>
      </c>
      <c r="L21" s="40">
        <v>3101</v>
      </c>
      <c r="M21" s="40">
        <v>2348</v>
      </c>
      <c r="N21" s="40">
        <v>2092</v>
      </c>
      <c r="O21" s="40">
        <v>2238</v>
      </c>
      <c r="P21" s="40">
        <v>2436</v>
      </c>
    </row>
    <row r="22" spans="1:16" ht="15" customHeight="1" x14ac:dyDescent="0.35">
      <c r="A22" s="138" t="s">
        <v>352</v>
      </c>
      <c r="B22" t="s">
        <v>1051</v>
      </c>
      <c r="C22" t="s">
        <v>73</v>
      </c>
      <c r="D22" s="139"/>
      <c r="E22" s="40"/>
      <c r="F22" s="40"/>
      <c r="G22" s="40">
        <v>5106</v>
      </c>
      <c r="H22" s="40">
        <v>6792</v>
      </c>
      <c r="I22" s="40">
        <v>7848</v>
      </c>
      <c r="J22" s="40">
        <v>8520</v>
      </c>
      <c r="K22" s="40">
        <v>2418</v>
      </c>
      <c r="L22" s="40">
        <v>2028</v>
      </c>
      <c r="M22" s="40">
        <v>2168</v>
      </c>
      <c r="N22" s="40">
        <v>1893</v>
      </c>
      <c r="O22" s="40">
        <v>1864</v>
      </c>
      <c r="P22" s="40">
        <v>1969</v>
      </c>
    </row>
    <row r="23" spans="1:16" ht="15" customHeight="1" x14ac:dyDescent="0.35">
      <c r="A23" s="138" t="s">
        <v>503</v>
      </c>
      <c r="B23" t="s">
        <v>1051</v>
      </c>
      <c r="C23" t="s">
        <v>73</v>
      </c>
      <c r="D23" s="139"/>
      <c r="E23" s="40"/>
      <c r="F23" s="40"/>
      <c r="G23" s="40">
        <v>5405</v>
      </c>
      <c r="H23" s="40">
        <v>6888</v>
      </c>
      <c r="I23" s="40">
        <v>7464</v>
      </c>
      <c r="J23" s="40">
        <v>11712</v>
      </c>
      <c r="K23" s="40">
        <v>3620</v>
      </c>
      <c r="L23" s="40">
        <v>2646</v>
      </c>
      <c r="M23" s="40">
        <v>2308</v>
      </c>
      <c r="N23" s="40">
        <v>1998</v>
      </c>
      <c r="O23" s="40">
        <v>1848</v>
      </c>
      <c r="P23" s="40">
        <v>2308</v>
      </c>
    </row>
    <row r="24" spans="1:16" ht="15" customHeight="1" x14ac:dyDescent="0.35">
      <c r="A24" s="138" t="s">
        <v>1070</v>
      </c>
      <c r="B24" t="s">
        <v>1051</v>
      </c>
      <c r="C24" t="s">
        <v>73</v>
      </c>
      <c r="D24" s="139"/>
      <c r="E24" s="40"/>
      <c r="F24" s="40"/>
      <c r="G24" s="40">
        <v>3276</v>
      </c>
      <c r="H24" s="40">
        <v>4738</v>
      </c>
      <c r="I24" s="40">
        <v>5290</v>
      </c>
      <c r="J24" s="40">
        <v>4554</v>
      </c>
      <c r="K24" s="40">
        <v>2453</v>
      </c>
      <c r="L24" s="40">
        <v>2144</v>
      </c>
      <c r="M24" s="40">
        <v>2080</v>
      </c>
      <c r="N24" s="40">
        <v>1748</v>
      </c>
      <c r="O24" s="40">
        <v>1800</v>
      </c>
      <c r="P24" s="40">
        <v>2337</v>
      </c>
    </row>
    <row r="25" spans="1:16" ht="1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F2BDDA4FE7EC4D8D566FB8C1661A04" ma:contentTypeVersion="14" ma:contentTypeDescription="Create a new document." ma:contentTypeScope="" ma:versionID="747689ffb3983748b6de924852ffe316">
  <xsd:schema xmlns:xsd="http://www.w3.org/2001/XMLSchema" xmlns:xs="http://www.w3.org/2001/XMLSchema" xmlns:p="http://schemas.microsoft.com/office/2006/metadata/properties" xmlns:ns2="b20b4cab-72ec-435e-b576-8563ad9c539d" xmlns:ns3="a9697d32-1cb3-44b5-858c-f6924b2991cd" targetNamespace="http://schemas.microsoft.com/office/2006/metadata/properties" ma:root="true" ma:fieldsID="5f2e9ab0dc07697668de301e4119bee9" ns2:_="" ns3:_="">
    <xsd:import namespace="b20b4cab-72ec-435e-b576-8563ad9c539d"/>
    <xsd:import namespace="a9697d32-1cb3-44b5-858c-f6924b2991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b4cab-72ec-435e-b576-8563ad9c5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a92de89-574c-4e8f-87a9-ce9e56b330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97d32-1cb3-44b5-858c-f6924b2991c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ad52dab-6308-4284-af92-1148a49ceddb}" ma:internalName="TaxCatchAll" ma:showField="CatchAllData" ma:web="a9697d32-1cb3-44b5-858c-f6924b2991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0b4cab-72ec-435e-b576-8563ad9c539d">
      <Terms xmlns="http://schemas.microsoft.com/office/infopath/2007/PartnerControls"/>
    </lcf76f155ced4ddcb4097134ff3c332f>
    <TaxCatchAll xmlns="a9697d32-1cb3-44b5-858c-f6924b2991cd" xsi:nil="true"/>
  </documentManagement>
</p:properties>
</file>

<file path=customXml/itemProps1.xml><?xml version="1.0" encoding="utf-8"?>
<ds:datastoreItem xmlns:ds="http://schemas.openxmlformats.org/officeDocument/2006/customXml" ds:itemID="{7308589C-C64C-4EE9-BFFE-18B382678C50}"/>
</file>

<file path=customXml/itemProps2.xml><?xml version="1.0" encoding="utf-8"?>
<ds:datastoreItem xmlns:ds="http://schemas.openxmlformats.org/officeDocument/2006/customXml" ds:itemID="{D1B92DDC-7BE7-441A-BB99-FB6CC6D7D82E}"/>
</file>

<file path=customXml/itemProps3.xml><?xml version="1.0" encoding="utf-8"?>
<ds:datastoreItem xmlns:ds="http://schemas.openxmlformats.org/officeDocument/2006/customXml" ds:itemID="{ED0C83DF-263F-4B22-9558-340BCB6CC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AE Calculator</vt:lpstr>
      <vt:lpstr>Sheet2</vt:lpstr>
      <vt:lpstr>Summary</vt:lpstr>
      <vt:lpstr>AE Model</vt:lpstr>
      <vt:lpstr>AE Contracts Feb Sample</vt:lpstr>
      <vt:lpstr>AE Feb Model</vt:lpstr>
      <vt:lpstr>AE Jan Model</vt:lpstr>
      <vt:lpstr>TSR Model</vt:lpstr>
      <vt:lpstr>TSR Sales Feb Sample</vt:lpstr>
      <vt:lpstr>TSR Sales Feb Model</vt:lpstr>
      <vt:lpstr>TSR Pen sample</vt:lpstr>
      <vt:lpstr>Dir Model</vt:lpstr>
      <vt:lpstr>Payroll</vt:lpstr>
      <vt:lpstr>AE_rates</vt:lpstr>
      <vt:lpstr>AgreeMap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Kraning, Steve</dc:creator>
  <cp:keywords/>
  <dc:description/>
  <cp:lastModifiedBy>Redfern, Nicole (External)</cp:lastModifiedBy>
  <cp:revision/>
  <dcterms:created xsi:type="dcterms:W3CDTF">2025-11-26T14:32:24Z</dcterms:created>
  <dcterms:modified xsi:type="dcterms:W3CDTF">2026-02-24T20:23:10Z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0x01010054F2BDDA4FE7EC4D8D566FB8C1661A04</vt:lpwstr>
  </property>
</Properties>
</file>